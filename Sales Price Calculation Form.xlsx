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/>
  </bookViews>
  <sheets>
    <sheet name="Kalkulacija" sheetId="1" r:id="rId1"/>
    <sheet name="Zaglavlje" sheetId="2" r:id="rId2"/>
  </sheets>
  <definedNames>
    <definedName name="_xlnm.Print_Area" localSheetId="0">Kalkulacija!$A$1:$P$46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0" i="1" l="1"/>
  <c r="M35" i="1"/>
  <c r="M36" i="1"/>
  <c r="M37" i="1"/>
  <c r="M38" i="1"/>
  <c r="M39" i="1"/>
  <c r="J35" i="1"/>
  <c r="J36" i="1"/>
  <c r="F36" i="1" s="1"/>
  <c r="G36" i="1" s="1"/>
  <c r="I36" i="1" s="1"/>
  <c r="J37" i="1"/>
  <c r="F37" i="1" s="1"/>
  <c r="G37" i="1" s="1"/>
  <c r="J38" i="1"/>
  <c r="L38" i="1" s="1"/>
  <c r="J39" i="1"/>
  <c r="L35" i="1" l="1"/>
  <c r="L39" i="1"/>
  <c r="F38" i="1"/>
  <c r="G38" i="1" s="1"/>
  <c r="I38" i="1" s="1"/>
  <c r="L36" i="1"/>
  <c r="L37" i="1"/>
  <c r="F39" i="1"/>
  <c r="G39" i="1" s="1"/>
  <c r="I39" i="1" s="1"/>
  <c r="F35" i="1"/>
  <c r="G35" i="1" s="1"/>
  <c r="I35" i="1" s="1"/>
  <c r="I37" i="1"/>
  <c r="J11" i="1"/>
  <c r="F11" i="1" s="1"/>
  <c r="G11" i="1" s="1"/>
  <c r="J12" i="1"/>
  <c r="F12" i="1" s="1"/>
  <c r="G12" i="1" s="1"/>
  <c r="J13" i="1"/>
  <c r="F13" i="1" s="1"/>
  <c r="J14" i="1"/>
  <c r="F14" i="1" s="1"/>
  <c r="G14" i="1" s="1"/>
  <c r="J15" i="1"/>
  <c r="F15" i="1" s="1"/>
  <c r="G15" i="1" s="1"/>
  <c r="I15" i="1" s="1"/>
  <c r="J16" i="1"/>
  <c r="J17" i="1"/>
  <c r="F17" i="1" s="1"/>
  <c r="J18" i="1"/>
  <c r="F18" i="1" s="1"/>
  <c r="G18" i="1" s="1"/>
  <c r="J19" i="1"/>
  <c r="F19" i="1" s="1"/>
  <c r="J20" i="1"/>
  <c r="F20" i="1" s="1"/>
  <c r="G20" i="1" s="1"/>
  <c r="J21" i="1"/>
  <c r="F21" i="1" s="1"/>
  <c r="G21" i="1" s="1"/>
  <c r="I21" i="1" s="1"/>
  <c r="J22" i="1"/>
  <c r="F22" i="1" s="1"/>
  <c r="G22" i="1" s="1"/>
  <c r="J23" i="1"/>
  <c r="F23" i="1" s="1"/>
  <c r="G23" i="1" s="1"/>
  <c r="J24" i="1"/>
  <c r="F24" i="1" s="1"/>
  <c r="G24" i="1" s="1"/>
  <c r="J25" i="1"/>
  <c r="F25" i="1" s="1"/>
  <c r="G25" i="1" s="1"/>
  <c r="J26" i="1"/>
  <c r="F26" i="1" s="1"/>
  <c r="G26" i="1" s="1"/>
  <c r="J27" i="1"/>
  <c r="J28" i="1"/>
  <c r="J29" i="1"/>
  <c r="F29" i="1" s="1"/>
  <c r="J30" i="1"/>
  <c r="F30" i="1" s="1"/>
  <c r="J31" i="1"/>
  <c r="F31" i="1" s="1"/>
  <c r="J32" i="1"/>
  <c r="F32" i="1" s="1"/>
  <c r="G32" i="1" s="1"/>
  <c r="J33" i="1"/>
  <c r="F33" i="1" s="1"/>
  <c r="G33" i="1" s="1"/>
  <c r="I33" i="1" s="1"/>
  <c r="J34" i="1"/>
  <c r="F34" i="1" s="1"/>
  <c r="J10" i="1"/>
  <c r="M11" i="1"/>
  <c r="M12" i="1"/>
  <c r="M13" i="1"/>
  <c r="M14" i="1"/>
  <c r="L14" i="1" s="1"/>
  <c r="M15" i="1"/>
  <c r="M16" i="1"/>
  <c r="M17" i="1"/>
  <c r="M18" i="1"/>
  <c r="L18" i="1" s="1"/>
  <c r="M19" i="1"/>
  <c r="M20" i="1"/>
  <c r="M21" i="1"/>
  <c r="M22" i="1"/>
  <c r="L22" i="1" s="1"/>
  <c r="M23" i="1"/>
  <c r="M24" i="1"/>
  <c r="M25" i="1"/>
  <c r="M26" i="1"/>
  <c r="L26" i="1" s="1"/>
  <c r="M27" i="1"/>
  <c r="M28" i="1"/>
  <c r="M29" i="1"/>
  <c r="M30" i="1"/>
  <c r="L30" i="1" s="1"/>
  <c r="M31" i="1"/>
  <c r="M32" i="1"/>
  <c r="M33" i="1"/>
  <c r="M34" i="1"/>
  <c r="L34" i="1" s="1"/>
  <c r="M10" i="1"/>
  <c r="J40" i="1" l="1"/>
  <c r="M40" i="1"/>
  <c r="L20" i="1"/>
  <c r="L24" i="1"/>
  <c r="L15" i="1"/>
  <c r="L16" i="1"/>
  <c r="L31" i="1"/>
  <c r="L27" i="1"/>
  <c r="L23" i="1"/>
  <c r="L19" i="1"/>
  <c r="L28" i="1"/>
  <c r="L32" i="1"/>
  <c r="F10" i="1"/>
  <c r="G10" i="1" s="1"/>
  <c r="I10" i="1" s="1"/>
  <c r="L33" i="1"/>
  <c r="L29" i="1"/>
  <c r="L25" i="1"/>
  <c r="L21" i="1"/>
  <c r="L17" i="1"/>
  <c r="L10" i="1"/>
  <c r="G31" i="1"/>
  <c r="I31" i="1" s="1"/>
  <c r="G19" i="1"/>
  <c r="I19" i="1" s="1"/>
  <c r="G34" i="1"/>
  <c r="I34" i="1" s="1"/>
  <c r="G30" i="1"/>
  <c r="I30" i="1" s="1"/>
  <c r="G29" i="1"/>
  <c r="I29" i="1" s="1"/>
  <c r="G17" i="1"/>
  <c r="I17" i="1" s="1"/>
  <c r="I24" i="1"/>
  <c r="I18" i="1"/>
  <c r="F28" i="1"/>
  <c r="G28" i="1" s="1"/>
  <c r="I28" i="1" s="1"/>
  <c r="F16" i="1"/>
  <c r="G16" i="1" s="1"/>
  <c r="I16" i="1" s="1"/>
  <c r="I23" i="1"/>
  <c r="F27" i="1"/>
  <c r="G27" i="1" s="1"/>
  <c r="I27" i="1" s="1"/>
  <c r="I22" i="1"/>
  <c r="I25" i="1"/>
  <c r="L12" i="1"/>
  <c r="L11" i="1"/>
  <c r="L13" i="1"/>
  <c r="G13" i="1"/>
  <c r="I13" i="1" s="1"/>
  <c r="I32" i="1"/>
  <c r="I26" i="1"/>
  <c r="I20" i="1"/>
  <c r="I14" i="1"/>
  <c r="I11" i="1"/>
  <c r="I12" i="1"/>
  <c r="I40" i="1" l="1"/>
  <c r="L40" i="1"/>
</calcChain>
</file>

<file path=xl/comments1.xml><?xml version="1.0" encoding="utf-8"?>
<comments xmlns="http://schemas.openxmlformats.org/spreadsheetml/2006/main">
  <authors>
    <author>Dragan</author>
  </authors>
  <commentList>
    <comment ref="F7" authorId="0">
      <text>
        <r>
          <rPr>
            <b/>
            <sz val="9"/>
            <color indexed="81"/>
            <rFont val="Tahoma"/>
            <family val="2"/>
          </rPr>
          <t>предузетници - обвезници ПДВ, уносе набавну вредност робе без обрачунатог ПДВ у фактури добављача а предузетници који нису обвезници ПДВ као набавну вредност робе уносе бруто износ из
фактуре добављача са обрачунатим ПДВ.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2 предузетници - обвезници ПДВ, уносе вредност зависних трошкова без обрачунатог ПДВ из фактуре, а предузетници ПДВ као вредност зависних трошкова уносе бруто износ са обрачунатим ПДВ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<sst xmlns="http://schemas.openxmlformats.org/spreadsheetml/2006/main" count="71" uniqueCount="42">
  <si>
    <t>R.Br.</t>
  </si>
  <si>
    <t>Naziv robe</t>
  </si>
  <si>
    <t>količina</t>
  </si>
  <si>
    <t>jed. mere</t>
  </si>
  <si>
    <t>cena po jed. mere</t>
  </si>
  <si>
    <t>Vrednost robe</t>
  </si>
  <si>
    <t>Razlika u ceni</t>
  </si>
  <si>
    <t>Prodajna vr. robe bez PDV</t>
  </si>
  <si>
    <t>Stopa</t>
  </si>
  <si>
    <t>Obračunati iznos</t>
  </si>
  <si>
    <t>Prodajna vr. robe sa PDV</t>
  </si>
  <si>
    <t>Napomena</t>
  </si>
  <si>
    <t>PDV</t>
  </si>
  <si>
    <t>Prodajna cena po jed. mere</t>
  </si>
  <si>
    <t>kom</t>
  </si>
  <si>
    <t>KALKULACIJA PRODAJNE CENE Br:</t>
  </si>
  <si>
    <t>(SASTAVIO)</t>
  </si>
  <si>
    <t>(ODGOVORNO LICE)</t>
  </si>
  <si>
    <t>1 preduzetnici - obveznici PDV, unose nabavnu vrednost robe bez obračunatog PDV u fakturi dobavlјača a preduzetnici koji nisu obveznici PDV kao nabavnu vrednost robe unose bruto iznos iz  fakture dobavlјača sa obračunatim PDV.</t>
  </si>
  <si>
    <t>2 preduzetnici - obveznici PDV, unose vrednost zavisnih troškova bez obračunatog PDV iz fakture, a preduzetnici PDV kao vrednost zavisnih troškova unose bruto iznos sa obračunatim PDV</t>
  </si>
  <si>
    <t>PIB</t>
  </si>
  <si>
    <t>Obveznik</t>
  </si>
  <si>
    <t>Firma - radnja</t>
  </si>
  <si>
    <t>Sedište</t>
  </si>
  <si>
    <t>Šifra poreskog obveznika</t>
  </si>
  <si>
    <t>Šifra delatnosti</t>
  </si>
  <si>
    <t>Obrazac KL</t>
  </si>
  <si>
    <t>(datum)</t>
  </si>
  <si>
    <t>Opačić Danijela</t>
  </si>
  <si>
    <t>PR Tašnerska radnja Beograd</t>
  </si>
  <si>
    <t>Beograd</t>
  </si>
  <si>
    <t>PO DOKUMENTU</t>
  </si>
  <si>
    <t>BROJ</t>
  </si>
  <si>
    <t>OD</t>
  </si>
  <si>
    <t>GODINE</t>
  </si>
  <si>
    <t>OTPREMNICA</t>
  </si>
  <si>
    <r>
      <t xml:space="preserve">Po fakturi dobavljaca </t>
    </r>
    <r>
      <rPr>
        <b/>
        <vertAlign val="superscript"/>
        <sz val="11"/>
        <rFont val="Arial"/>
        <family val="2"/>
      </rPr>
      <t>1</t>
    </r>
  </si>
  <si>
    <r>
      <t xml:space="preserve">Zavisni troškovi </t>
    </r>
    <r>
      <rPr>
        <b/>
        <vertAlign val="superscript"/>
        <sz val="14"/>
        <rFont val="Arial"/>
        <family val="2"/>
      </rPr>
      <t>2</t>
    </r>
  </si>
  <si>
    <r>
      <t>6</t>
    </r>
    <r>
      <rPr>
        <sz val="14"/>
        <color theme="1"/>
        <rFont val="Calibri"/>
        <family val="2"/>
        <scheme val="minor"/>
      </rPr>
      <t>=4x5</t>
    </r>
  </si>
  <si>
    <r>
      <t>9</t>
    </r>
    <r>
      <rPr>
        <sz val="14"/>
        <color theme="1"/>
        <rFont val="Calibri"/>
        <family val="2"/>
        <scheme val="minor"/>
      </rPr>
      <t>=6+7+8</t>
    </r>
  </si>
  <si>
    <r>
      <t>12</t>
    </r>
    <r>
      <rPr>
        <sz val="14"/>
        <color theme="1"/>
        <rFont val="Calibri"/>
        <family val="2"/>
        <scheme val="minor"/>
      </rPr>
      <t>=9+11</t>
    </r>
  </si>
  <si>
    <r>
      <t>13</t>
    </r>
    <r>
      <rPr>
        <sz val="14"/>
        <color theme="1"/>
        <rFont val="Calibri"/>
        <family val="2"/>
        <scheme val="minor"/>
      </rPr>
      <t>=12:4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</si>
</sst>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&quot;.&quot;"/>
    <numFmt numFmtId="165" formatCode="0\ 0\ 0\ 0\ 0\ 0\ 0\ 0\ 0\ "/>
  </numFmts>
  <fonts count="2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31"/>
      <color theme="1"/>
      <name val="Calibri"/>
      <family val="2"/>
      <scheme val="minor"/>
    </font>
    <font>
      <sz val="12"/>
      <color theme="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4"/>
      <color rgb="FF3F3F76"/>
      <name val="Calibri"/>
      <family val="2"/>
      <scheme val="minor"/>
    </font>
    <font>
      <sz val="14"/>
      <color rgb="FF3F3F76"/>
      <name val="Calibri"/>
      <family val="2"/>
      <charset val="204"/>
      <scheme val="minor"/>
    </font>
    <font>
      <b/>
      <sz val="14"/>
      <color rgb="FFFA7D00"/>
      <name val="Calibri"/>
      <family val="2"/>
      <charset val="204"/>
      <scheme val="minor"/>
    </font>
    <font>
      <b/>
      <sz val="14"/>
      <color rgb="FFFA7D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1" fillId="5" borderId="0" applyNumberFormat="0" applyBorder="0" applyAlignment="0" applyProtection="0"/>
  </cellStyleXfs>
  <cellXfs count="78">
    <xf numFmtId="0" fontId="0" fillId="0" borderId="0" xfId="0"/>
    <xf numFmtId="0" fontId="6" fillId="6" borderId="0" xfId="0" applyFont="1" applyFill="1" applyProtection="1">
      <protection locked="0"/>
    </xf>
    <xf numFmtId="0" fontId="2" fillId="2" borderId="2" xfId="1" applyBorder="1" applyAlignment="1" applyProtection="1">
      <alignment horizontal="center"/>
      <protection locked="0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0" fillId="0" borderId="0" xfId="0" applyBorder="1"/>
    <xf numFmtId="0" fontId="8" fillId="0" borderId="14" xfId="0" applyFon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26" xfId="0" applyBorder="1"/>
    <xf numFmtId="0" fontId="10" fillId="5" borderId="25" xfId="4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13" fillId="0" borderId="0" xfId="0" applyFont="1" applyAlignment="1">
      <alignment vertical="center"/>
    </xf>
    <xf numFmtId="0" fontId="2" fillId="0" borderId="0" xfId="1" applyFill="1" applyBorder="1" applyAlignment="1" applyProtection="1">
      <alignment horizontal="center"/>
      <protection locked="0"/>
    </xf>
    <xf numFmtId="0" fontId="9" fillId="5" borderId="7" xfId="4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165" fontId="14" fillId="2" borderId="2" xfId="1" applyNumberFormat="1" applyFont="1" applyBorder="1" applyAlignment="1" applyProtection="1">
      <alignment horizontal="center"/>
      <protection locked="0"/>
    </xf>
    <xf numFmtId="0" fontId="14" fillId="2" borderId="2" xfId="1" applyFont="1" applyBorder="1" applyAlignment="1" applyProtection="1">
      <alignment horizontal="center"/>
      <protection locked="0"/>
    </xf>
    <xf numFmtId="0" fontId="15" fillId="0" borderId="0" xfId="0" applyFont="1" applyAlignment="1">
      <alignment horizontal="left" vertical="center"/>
    </xf>
    <xf numFmtId="0" fontId="16" fillId="7" borderId="0" xfId="0" applyFont="1" applyFill="1" applyProtection="1">
      <protection locked="0"/>
    </xf>
    <xf numFmtId="0" fontId="8" fillId="0" borderId="0" xfId="0" applyFont="1" applyBorder="1"/>
    <xf numFmtId="0" fontId="0" fillId="0" borderId="3" xfId="0" applyBorder="1"/>
    <xf numFmtId="0" fontId="0" fillId="0" borderId="0" xfId="0" applyFont="1"/>
    <xf numFmtId="0" fontId="0" fillId="0" borderId="17" xfId="0" applyFont="1" applyBorder="1"/>
    <xf numFmtId="0" fontId="0" fillId="0" borderId="18" xfId="0" applyFont="1" applyBorder="1"/>
    <xf numFmtId="0" fontId="17" fillId="0" borderId="18" xfId="0" applyFont="1" applyBorder="1" applyAlignment="1">
      <alignment horizontal="center" vertical="top"/>
    </xf>
    <xf numFmtId="0" fontId="17" fillId="0" borderId="15" xfId="0" applyFont="1" applyBorder="1" applyAlignment="1">
      <alignment horizontal="center" vertical="top"/>
    </xf>
    <xf numFmtId="0" fontId="18" fillId="0" borderId="16" xfId="0" applyFont="1" applyBorder="1" applyAlignment="1">
      <alignment horizontal="center" vertical="top"/>
    </xf>
    <xf numFmtId="0" fontId="0" fillId="0" borderId="14" xfId="0" applyFont="1" applyBorder="1"/>
    <xf numFmtId="0" fontId="0" fillId="0" borderId="15" xfId="0" applyFont="1" applyBorder="1" applyAlignment="1">
      <alignment vertical="center"/>
    </xf>
    <xf numFmtId="0" fontId="0" fillId="0" borderId="19" xfId="0" applyFont="1" applyBorder="1"/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64" fontId="24" fillId="0" borderId="9" xfId="0" applyNumberFormat="1" applyFont="1" applyBorder="1" applyAlignment="1">
      <alignment horizontal="center" vertical="center"/>
    </xf>
    <xf numFmtId="0" fontId="25" fillId="3" borderId="1" xfId="2" applyFont="1" applyBorder="1"/>
    <xf numFmtId="0" fontId="26" fillId="3" borderId="1" xfId="2" applyFont="1" applyBorder="1"/>
    <xf numFmtId="0" fontId="26" fillId="3" borderId="1" xfId="2" applyNumberFormat="1" applyFont="1" applyBorder="1"/>
    <xf numFmtId="2" fontId="26" fillId="3" borderId="1" xfId="2" applyNumberFormat="1" applyFont="1" applyBorder="1"/>
    <xf numFmtId="4" fontId="27" fillId="4" borderId="1" xfId="3" applyNumberFormat="1" applyFont="1" applyBorder="1"/>
    <xf numFmtId="4" fontId="26" fillId="3" borderId="1" xfId="2" applyNumberFormat="1" applyFont="1" applyBorder="1"/>
    <xf numFmtId="4" fontId="24" fillId="0" borderId="4" xfId="0" applyNumberFormat="1" applyFont="1" applyBorder="1"/>
    <xf numFmtId="9" fontId="26" fillId="3" borderId="1" xfId="2" applyNumberFormat="1" applyFont="1" applyBorder="1"/>
    <xf numFmtId="0" fontId="24" fillId="0" borderId="10" xfId="0" applyFont="1" applyBorder="1"/>
    <xf numFmtId="0" fontId="24" fillId="0" borderId="11" xfId="0" applyFont="1" applyBorder="1"/>
    <xf numFmtId="0" fontId="7" fillId="0" borderId="8" xfId="0" applyFont="1" applyBorder="1" applyAlignment="1">
      <alignment horizontal="center" vertical="top"/>
    </xf>
    <xf numFmtId="0" fontId="26" fillId="3" borderId="27" xfId="2" applyFont="1" applyBorder="1"/>
    <xf numFmtId="4" fontId="27" fillId="4" borderId="0" xfId="3" applyNumberFormat="1" applyFont="1" applyBorder="1"/>
    <xf numFmtId="2" fontId="26" fillId="7" borderId="0" xfId="2" applyNumberFormat="1" applyFont="1" applyFill="1" applyBorder="1"/>
    <xf numFmtId="0" fontId="26" fillId="3" borderId="28" xfId="2" applyFont="1" applyBorder="1"/>
    <xf numFmtId="2" fontId="26" fillId="3" borderId="28" xfId="2" applyNumberFormat="1" applyFont="1" applyBorder="1"/>
    <xf numFmtId="4" fontId="27" fillId="4" borderId="28" xfId="3" applyNumberFormat="1" applyFont="1" applyBorder="1"/>
    <xf numFmtId="4" fontId="24" fillId="0" borderId="23" xfId="0" applyNumberFormat="1" applyFont="1" applyBorder="1"/>
    <xf numFmtId="9" fontId="26" fillId="3" borderId="28" xfId="2" applyNumberFormat="1" applyFont="1" applyBorder="1"/>
    <xf numFmtId="0" fontId="24" fillId="0" borderId="29" xfId="0" applyFont="1" applyBorder="1"/>
    <xf numFmtId="4" fontId="24" fillId="0" borderId="3" xfId="0" applyNumberFormat="1" applyFont="1" applyFill="1" applyBorder="1"/>
    <xf numFmtId="4" fontId="0" fillId="0" borderId="3" xfId="0" applyNumberFormat="1" applyBorder="1"/>
    <xf numFmtId="0" fontId="26" fillId="3" borderId="30" xfId="2" applyFont="1" applyBorder="1"/>
    <xf numFmtId="4" fontId="28" fillId="4" borderId="31" xfId="3" applyNumberFormat="1" applyFont="1" applyBorder="1"/>
    <xf numFmtId="0" fontId="26" fillId="3" borderId="32" xfId="2" applyFont="1" applyBorder="1"/>
    <xf numFmtId="0" fontId="26" fillId="3" borderId="33" xfId="2" applyFont="1" applyBorder="1"/>
    <xf numFmtId="0" fontId="26" fillId="3" borderId="34" xfId="2" applyFont="1" applyBorder="1"/>
    <xf numFmtId="0" fontId="26" fillId="3" borderId="31" xfId="2" applyFont="1" applyBorder="1"/>
    <xf numFmtId="0" fontId="26" fillId="3" borderId="35" xfId="2" applyFont="1" applyBorder="1"/>
    <xf numFmtId="4" fontId="28" fillId="4" borderId="35" xfId="3" applyNumberFormat="1" applyFont="1" applyBorder="1"/>
    <xf numFmtId="4" fontId="28" fillId="4" borderId="36" xfId="3" applyNumberFormat="1" applyFont="1" applyBorder="1"/>
    <xf numFmtId="0" fontId="24" fillId="0" borderId="37" xfId="0" applyFont="1" applyBorder="1"/>
    <xf numFmtId="0" fontId="24" fillId="0" borderId="24" xfId="0" applyFont="1" applyBorder="1"/>
  </cellXfs>
  <cellStyles count="5">
    <cellStyle name="20% - Accent4" xfId="4" builtinId="42"/>
    <cellStyle name="Calculation" xfId="3" builtinId="22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0</xdr:row>
          <xdr:rowOff>209550</xdr:rowOff>
        </xdr:from>
        <xdr:to>
          <xdr:col>3</xdr:col>
          <xdr:colOff>800100</xdr:colOff>
          <xdr:row>3</xdr:row>
          <xdr:rowOff>57150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xmlns="" id="{7045F599-83BC-4AFC-B15B-78FA3BEDF8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Zaglavlje!$C$3:$D$13" spid="_x0000_s11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0500" y="209550"/>
              <a:ext cx="3438525" cy="1428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7</xdr:col>
      <xdr:colOff>66675</xdr:colOff>
      <xdr:row>2</xdr:row>
      <xdr:rowOff>57150</xdr:rowOff>
    </xdr:from>
    <xdr:to>
      <xdr:col>11</xdr:col>
      <xdr:colOff>16330</xdr:colOff>
      <xdr:row>5</xdr:row>
      <xdr:rowOff>87086</xdr:rowOff>
    </xdr:to>
    <xdr:sp macro="" textlink="">
      <xdr:nvSpPr>
        <xdr:cNvPr id="1050" name="AutoShape 26"/>
        <xdr:cNvSpPr>
          <a:spLocks noChangeAspect="1" noChangeArrowheads="1"/>
        </xdr:cNvSpPr>
      </xdr:nvSpPr>
      <xdr:spPr bwMode="auto">
        <a:xfrm>
          <a:off x="7067550" y="1333500"/>
          <a:ext cx="343852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60"/>
  <sheetViews>
    <sheetView showGridLines="0" tabSelected="1" topLeftCell="A4" zoomScale="70" zoomScaleNormal="70" workbookViewId="0">
      <selection activeCell="N10" sqref="N10:N27"/>
    </sheetView>
  </sheetViews>
  <sheetFormatPr defaultRowHeight="15" x14ac:dyDescent="0.25"/>
  <cols>
    <col min="1" max="1" width="3.7109375" customWidth="1"/>
    <col min="2" max="2" width="10.28515625" customWidth="1"/>
    <col min="3" max="3" width="28.42578125" customWidth="1"/>
    <col min="4" max="4" width="16.5703125" customWidth="1"/>
    <col min="5" max="5" width="14.28515625" customWidth="1"/>
    <col min="6" max="6" width="20.7109375" customWidth="1"/>
    <col min="7" max="7" width="15.5703125" customWidth="1"/>
    <col min="8" max="8" width="10.140625" customWidth="1"/>
    <col min="9" max="9" width="12.85546875" customWidth="1"/>
    <col min="10" max="10" width="14" customWidth="1"/>
    <col min="11" max="11" width="15.28515625" customWidth="1"/>
    <col min="12" max="12" width="19.140625" customWidth="1"/>
    <col min="13" max="13" width="27.140625" customWidth="1"/>
    <col min="14" max="14" width="26.28515625" customWidth="1"/>
    <col min="15" max="15" width="29.5703125" customWidth="1"/>
    <col min="16" max="16" width="2.5703125" customWidth="1"/>
    <col min="257" max="257" width="3.7109375" customWidth="1"/>
    <col min="258" max="258" width="10.28515625" customWidth="1"/>
    <col min="259" max="259" width="11.140625" customWidth="1"/>
    <col min="260" max="260" width="33.28515625" customWidth="1"/>
    <col min="261" max="261" width="16.140625" customWidth="1"/>
    <col min="262" max="262" width="18.85546875" customWidth="1"/>
    <col min="263" max="263" width="12.85546875" customWidth="1"/>
    <col min="264" max="264" width="37.7109375" customWidth="1"/>
    <col min="513" max="513" width="3.7109375" customWidth="1"/>
    <col min="514" max="514" width="10.28515625" customWidth="1"/>
    <col min="515" max="515" width="11.140625" customWidth="1"/>
    <col min="516" max="516" width="33.28515625" customWidth="1"/>
    <col min="517" max="517" width="16.140625" customWidth="1"/>
    <col min="518" max="518" width="18.85546875" customWidth="1"/>
    <col min="519" max="519" width="12.85546875" customWidth="1"/>
    <col min="520" max="520" width="37.7109375" customWidth="1"/>
    <col min="769" max="769" width="3.7109375" customWidth="1"/>
    <col min="770" max="770" width="10.28515625" customWidth="1"/>
    <col min="771" max="771" width="11.140625" customWidth="1"/>
    <col min="772" max="772" width="33.28515625" customWidth="1"/>
    <col min="773" max="773" width="16.140625" customWidth="1"/>
    <col min="774" max="774" width="18.85546875" customWidth="1"/>
    <col min="775" max="775" width="12.85546875" customWidth="1"/>
    <col min="776" max="776" width="37.7109375" customWidth="1"/>
    <col min="1025" max="1025" width="3.7109375" customWidth="1"/>
    <col min="1026" max="1026" width="10.28515625" customWidth="1"/>
    <col min="1027" max="1027" width="11.140625" customWidth="1"/>
    <col min="1028" max="1028" width="33.28515625" customWidth="1"/>
    <col min="1029" max="1029" width="16.140625" customWidth="1"/>
    <col min="1030" max="1030" width="18.85546875" customWidth="1"/>
    <col min="1031" max="1031" width="12.85546875" customWidth="1"/>
    <col min="1032" max="1032" width="37.7109375" customWidth="1"/>
    <col min="1281" max="1281" width="3.7109375" customWidth="1"/>
    <col min="1282" max="1282" width="10.28515625" customWidth="1"/>
    <col min="1283" max="1283" width="11.140625" customWidth="1"/>
    <col min="1284" max="1284" width="33.28515625" customWidth="1"/>
    <col min="1285" max="1285" width="16.140625" customWidth="1"/>
    <col min="1286" max="1286" width="18.85546875" customWidth="1"/>
    <col min="1287" max="1287" width="12.85546875" customWidth="1"/>
    <col min="1288" max="1288" width="37.7109375" customWidth="1"/>
    <col min="1537" max="1537" width="3.7109375" customWidth="1"/>
    <col min="1538" max="1538" width="10.28515625" customWidth="1"/>
    <col min="1539" max="1539" width="11.140625" customWidth="1"/>
    <col min="1540" max="1540" width="33.28515625" customWidth="1"/>
    <col min="1541" max="1541" width="16.140625" customWidth="1"/>
    <col min="1542" max="1542" width="18.85546875" customWidth="1"/>
    <col min="1543" max="1543" width="12.85546875" customWidth="1"/>
    <col min="1544" max="1544" width="37.7109375" customWidth="1"/>
    <col min="1793" max="1793" width="3.7109375" customWidth="1"/>
    <col min="1794" max="1794" width="10.28515625" customWidth="1"/>
    <col min="1795" max="1795" width="11.140625" customWidth="1"/>
    <col min="1796" max="1796" width="33.28515625" customWidth="1"/>
    <col min="1797" max="1797" width="16.140625" customWidth="1"/>
    <col min="1798" max="1798" width="18.85546875" customWidth="1"/>
    <col min="1799" max="1799" width="12.85546875" customWidth="1"/>
    <col min="1800" max="1800" width="37.7109375" customWidth="1"/>
    <col min="2049" max="2049" width="3.7109375" customWidth="1"/>
    <col min="2050" max="2050" width="10.28515625" customWidth="1"/>
    <col min="2051" max="2051" width="11.140625" customWidth="1"/>
    <col min="2052" max="2052" width="33.28515625" customWidth="1"/>
    <col min="2053" max="2053" width="16.140625" customWidth="1"/>
    <col min="2054" max="2054" width="18.85546875" customWidth="1"/>
    <col min="2055" max="2055" width="12.85546875" customWidth="1"/>
    <col min="2056" max="2056" width="37.7109375" customWidth="1"/>
    <col min="2305" max="2305" width="3.7109375" customWidth="1"/>
    <col min="2306" max="2306" width="10.28515625" customWidth="1"/>
    <col min="2307" max="2307" width="11.140625" customWidth="1"/>
    <col min="2308" max="2308" width="33.28515625" customWidth="1"/>
    <col min="2309" max="2309" width="16.140625" customWidth="1"/>
    <col min="2310" max="2310" width="18.85546875" customWidth="1"/>
    <col min="2311" max="2311" width="12.85546875" customWidth="1"/>
    <col min="2312" max="2312" width="37.7109375" customWidth="1"/>
    <col min="2561" max="2561" width="3.7109375" customWidth="1"/>
    <col min="2562" max="2562" width="10.28515625" customWidth="1"/>
    <col min="2563" max="2563" width="11.140625" customWidth="1"/>
    <col min="2564" max="2564" width="33.28515625" customWidth="1"/>
    <col min="2565" max="2565" width="16.140625" customWidth="1"/>
    <col min="2566" max="2566" width="18.85546875" customWidth="1"/>
    <col min="2567" max="2567" width="12.85546875" customWidth="1"/>
    <col min="2568" max="2568" width="37.7109375" customWidth="1"/>
    <col min="2817" max="2817" width="3.7109375" customWidth="1"/>
    <col min="2818" max="2818" width="10.28515625" customWidth="1"/>
    <col min="2819" max="2819" width="11.140625" customWidth="1"/>
    <col min="2820" max="2820" width="33.28515625" customWidth="1"/>
    <col min="2821" max="2821" width="16.140625" customWidth="1"/>
    <col min="2822" max="2822" width="18.85546875" customWidth="1"/>
    <col min="2823" max="2823" width="12.85546875" customWidth="1"/>
    <col min="2824" max="2824" width="37.7109375" customWidth="1"/>
    <col min="3073" max="3073" width="3.7109375" customWidth="1"/>
    <col min="3074" max="3074" width="10.28515625" customWidth="1"/>
    <col min="3075" max="3075" width="11.140625" customWidth="1"/>
    <col min="3076" max="3076" width="33.28515625" customWidth="1"/>
    <col min="3077" max="3077" width="16.140625" customWidth="1"/>
    <col min="3078" max="3078" width="18.85546875" customWidth="1"/>
    <col min="3079" max="3079" width="12.85546875" customWidth="1"/>
    <col min="3080" max="3080" width="37.7109375" customWidth="1"/>
    <col min="3329" max="3329" width="3.7109375" customWidth="1"/>
    <col min="3330" max="3330" width="10.28515625" customWidth="1"/>
    <col min="3331" max="3331" width="11.140625" customWidth="1"/>
    <col min="3332" max="3332" width="33.28515625" customWidth="1"/>
    <col min="3333" max="3333" width="16.140625" customWidth="1"/>
    <col min="3334" max="3334" width="18.85546875" customWidth="1"/>
    <col min="3335" max="3335" width="12.85546875" customWidth="1"/>
    <col min="3336" max="3336" width="37.7109375" customWidth="1"/>
    <col min="3585" max="3585" width="3.7109375" customWidth="1"/>
    <col min="3586" max="3586" width="10.28515625" customWidth="1"/>
    <col min="3587" max="3587" width="11.140625" customWidth="1"/>
    <col min="3588" max="3588" width="33.28515625" customWidth="1"/>
    <col min="3589" max="3589" width="16.140625" customWidth="1"/>
    <col min="3590" max="3590" width="18.85546875" customWidth="1"/>
    <col min="3591" max="3591" width="12.85546875" customWidth="1"/>
    <col min="3592" max="3592" width="37.7109375" customWidth="1"/>
    <col min="3841" max="3841" width="3.7109375" customWidth="1"/>
    <col min="3842" max="3842" width="10.28515625" customWidth="1"/>
    <col min="3843" max="3843" width="11.140625" customWidth="1"/>
    <col min="3844" max="3844" width="33.28515625" customWidth="1"/>
    <col min="3845" max="3845" width="16.140625" customWidth="1"/>
    <col min="3846" max="3846" width="18.85546875" customWidth="1"/>
    <col min="3847" max="3847" width="12.85546875" customWidth="1"/>
    <col min="3848" max="3848" width="37.7109375" customWidth="1"/>
    <col min="4097" max="4097" width="3.7109375" customWidth="1"/>
    <col min="4098" max="4098" width="10.28515625" customWidth="1"/>
    <col min="4099" max="4099" width="11.140625" customWidth="1"/>
    <col min="4100" max="4100" width="33.28515625" customWidth="1"/>
    <col min="4101" max="4101" width="16.140625" customWidth="1"/>
    <col min="4102" max="4102" width="18.85546875" customWidth="1"/>
    <col min="4103" max="4103" width="12.85546875" customWidth="1"/>
    <col min="4104" max="4104" width="37.7109375" customWidth="1"/>
    <col min="4353" max="4353" width="3.7109375" customWidth="1"/>
    <col min="4354" max="4354" width="10.28515625" customWidth="1"/>
    <col min="4355" max="4355" width="11.140625" customWidth="1"/>
    <col min="4356" max="4356" width="33.28515625" customWidth="1"/>
    <col min="4357" max="4357" width="16.140625" customWidth="1"/>
    <col min="4358" max="4358" width="18.85546875" customWidth="1"/>
    <col min="4359" max="4359" width="12.85546875" customWidth="1"/>
    <col min="4360" max="4360" width="37.7109375" customWidth="1"/>
    <col min="4609" max="4609" width="3.7109375" customWidth="1"/>
    <col min="4610" max="4610" width="10.28515625" customWidth="1"/>
    <col min="4611" max="4611" width="11.140625" customWidth="1"/>
    <col min="4612" max="4612" width="33.28515625" customWidth="1"/>
    <col min="4613" max="4613" width="16.140625" customWidth="1"/>
    <col min="4614" max="4614" width="18.85546875" customWidth="1"/>
    <col min="4615" max="4615" width="12.85546875" customWidth="1"/>
    <col min="4616" max="4616" width="37.7109375" customWidth="1"/>
    <col min="4865" max="4865" width="3.7109375" customWidth="1"/>
    <col min="4866" max="4866" width="10.28515625" customWidth="1"/>
    <col min="4867" max="4867" width="11.140625" customWidth="1"/>
    <col min="4868" max="4868" width="33.28515625" customWidth="1"/>
    <col min="4869" max="4869" width="16.140625" customWidth="1"/>
    <col min="4870" max="4870" width="18.85546875" customWidth="1"/>
    <col min="4871" max="4871" width="12.85546875" customWidth="1"/>
    <col min="4872" max="4872" width="37.7109375" customWidth="1"/>
    <col min="5121" max="5121" width="3.7109375" customWidth="1"/>
    <col min="5122" max="5122" width="10.28515625" customWidth="1"/>
    <col min="5123" max="5123" width="11.140625" customWidth="1"/>
    <col min="5124" max="5124" width="33.28515625" customWidth="1"/>
    <col min="5125" max="5125" width="16.140625" customWidth="1"/>
    <col min="5126" max="5126" width="18.85546875" customWidth="1"/>
    <col min="5127" max="5127" width="12.85546875" customWidth="1"/>
    <col min="5128" max="5128" width="37.7109375" customWidth="1"/>
    <col min="5377" max="5377" width="3.7109375" customWidth="1"/>
    <col min="5378" max="5378" width="10.28515625" customWidth="1"/>
    <col min="5379" max="5379" width="11.140625" customWidth="1"/>
    <col min="5380" max="5380" width="33.28515625" customWidth="1"/>
    <col min="5381" max="5381" width="16.140625" customWidth="1"/>
    <col min="5382" max="5382" width="18.85546875" customWidth="1"/>
    <col min="5383" max="5383" width="12.85546875" customWidth="1"/>
    <col min="5384" max="5384" width="37.7109375" customWidth="1"/>
    <col min="5633" max="5633" width="3.7109375" customWidth="1"/>
    <col min="5634" max="5634" width="10.28515625" customWidth="1"/>
    <col min="5635" max="5635" width="11.140625" customWidth="1"/>
    <col min="5636" max="5636" width="33.28515625" customWidth="1"/>
    <col min="5637" max="5637" width="16.140625" customWidth="1"/>
    <col min="5638" max="5638" width="18.85546875" customWidth="1"/>
    <col min="5639" max="5639" width="12.85546875" customWidth="1"/>
    <col min="5640" max="5640" width="37.7109375" customWidth="1"/>
    <col min="5889" max="5889" width="3.7109375" customWidth="1"/>
    <col min="5890" max="5890" width="10.28515625" customWidth="1"/>
    <col min="5891" max="5891" width="11.140625" customWidth="1"/>
    <col min="5892" max="5892" width="33.28515625" customWidth="1"/>
    <col min="5893" max="5893" width="16.140625" customWidth="1"/>
    <col min="5894" max="5894" width="18.85546875" customWidth="1"/>
    <col min="5895" max="5895" width="12.85546875" customWidth="1"/>
    <col min="5896" max="5896" width="37.7109375" customWidth="1"/>
    <col min="6145" max="6145" width="3.7109375" customWidth="1"/>
    <col min="6146" max="6146" width="10.28515625" customWidth="1"/>
    <col min="6147" max="6147" width="11.140625" customWidth="1"/>
    <col min="6148" max="6148" width="33.28515625" customWidth="1"/>
    <col min="6149" max="6149" width="16.140625" customWidth="1"/>
    <col min="6150" max="6150" width="18.85546875" customWidth="1"/>
    <col min="6151" max="6151" width="12.85546875" customWidth="1"/>
    <col min="6152" max="6152" width="37.7109375" customWidth="1"/>
    <col min="6401" max="6401" width="3.7109375" customWidth="1"/>
    <col min="6402" max="6402" width="10.28515625" customWidth="1"/>
    <col min="6403" max="6403" width="11.140625" customWidth="1"/>
    <col min="6404" max="6404" width="33.28515625" customWidth="1"/>
    <col min="6405" max="6405" width="16.140625" customWidth="1"/>
    <col min="6406" max="6406" width="18.85546875" customWidth="1"/>
    <col min="6407" max="6407" width="12.85546875" customWidth="1"/>
    <col min="6408" max="6408" width="37.7109375" customWidth="1"/>
    <col min="6657" max="6657" width="3.7109375" customWidth="1"/>
    <col min="6658" max="6658" width="10.28515625" customWidth="1"/>
    <col min="6659" max="6659" width="11.140625" customWidth="1"/>
    <col min="6660" max="6660" width="33.28515625" customWidth="1"/>
    <col min="6661" max="6661" width="16.140625" customWidth="1"/>
    <col min="6662" max="6662" width="18.85546875" customWidth="1"/>
    <col min="6663" max="6663" width="12.85546875" customWidth="1"/>
    <col min="6664" max="6664" width="37.7109375" customWidth="1"/>
    <col min="6913" max="6913" width="3.7109375" customWidth="1"/>
    <col min="6914" max="6914" width="10.28515625" customWidth="1"/>
    <col min="6915" max="6915" width="11.140625" customWidth="1"/>
    <col min="6916" max="6916" width="33.28515625" customWidth="1"/>
    <col min="6917" max="6917" width="16.140625" customWidth="1"/>
    <col min="6918" max="6918" width="18.85546875" customWidth="1"/>
    <col min="6919" max="6919" width="12.85546875" customWidth="1"/>
    <col min="6920" max="6920" width="37.7109375" customWidth="1"/>
    <col min="7169" max="7169" width="3.7109375" customWidth="1"/>
    <col min="7170" max="7170" width="10.28515625" customWidth="1"/>
    <col min="7171" max="7171" width="11.140625" customWidth="1"/>
    <col min="7172" max="7172" width="33.28515625" customWidth="1"/>
    <col min="7173" max="7173" width="16.140625" customWidth="1"/>
    <col min="7174" max="7174" width="18.85546875" customWidth="1"/>
    <col min="7175" max="7175" width="12.85546875" customWidth="1"/>
    <col min="7176" max="7176" width="37.7109375" customWidth="1"/>
    <col min="7425" max="7425" width="3.7109375" customWidth="1"/>
    <col min="7426" max="7426" width="10.28515625" customWidth="1"/>
    <col min="7427" max="7427" width="11.140625" customWidth="1"/>
    <col min="7428" max="7428" width="33.28515625" customWidth="1"/>
    <col min="7429" max="7429" width="16.140625" customWidth="1"/>
    <col min="7430" max="7430" width="18.85546875" customWidth="1"/>
    <col min="7431" max="7431" width="12.85546875" customWidth="1"/>
    <col min="7432" max="7432" width="37.7109375" customWidth="1"/>
    <col min="7681" max="7681" width="3.7109375" customWidth="1"/>
    <col min="7682" max="7682" width="10.28515625" customWidth="1"/>
    <col min="7683" max="7683" width="11.140625" customWidth="1"/>
    <col min="7684" max="7684" width="33.28515625" customWidth="1"/>
    <col min="7685" max="7685" width="16.140625" customWidth="1"/>
    <col min="7686" max="7686" width="18.85546875" customWidth="1"/>
    <col min="7687" max="7687" width="12.85546875" customWidth="1"/>
    <col min="7688" max="7688" width="37.7109375" customWidth="1"/>
    <col min="7937" max="7937" width="3.7109375" customWidth="1"/>
    <col min="7938" max="7938" width="10.28515625" customWidth="1"/>
    <col min="7939" max="7939" width="11.140625" customWidth="1"/>
    <col min="7940" max="7940" width="33.28515625" customWidth="1"/>
    <col min="7941" max="7941" width="16.140625" customWidth="1"/>
    <col min="7942" max="7942" width="18.85546875" customWidth="1"/>
    <col min="7943" max="7943" width="12.85546875" customWidth="1"/>
    <col min="7944" max="7944" width="37.7109375" customWidth="1"/>
    <col min="8193" max="8193" width="3.7109375" customWidth="1"/>
    <col min="8194" max="8194" width="10.28515625" customWidth="1"/>
    <col min="8195" max="8195" width="11.140625" customWidth="1"/>
    <col min="8196" max="8196" width="33.28515625" customWidth="1"/>
    <col min="8197" max="8197" width="16.140625" customWidth="1"/>
    <col min="8198" max="8198" width="18.85546875" customWidth="1"/>
    <col min="8199" max="8199" width="12.85546875" customWidth="1"/>
    <col min="8200" max="8200" width="37.7109375" customWidth="1"/>
    <col min="8449" max="8449" width="3.7109375" customWidth="1"/>
    <col min="8450" max="8450" width="10.28515625" customWidth="1"/>
    <col min="8451" max="8451" width="11.140625" customWidth="1"/>
    <col min="8452" max="8452" width="33.28515625" customWidth="1"/>
    <col min="8453" max="8453" width="16.140625" customWidth="1"/>
    <col min="8454" max="8454" width="18.85546875" customWidth="1"/>
    <col min="8455" max="8455" width="12.85546875" customWidth="1"/>
    <col min="8456" max="8456" width="37.7109375" customWidth="1"/>
    <col min="8705" max="8705" width="3.7109375" customWidth="1"/>
    <col min="8706" max="8706" width="10.28515625" customWidth="1"/>
    <col min="8707" max="8707" width="11.140625" customWidth="1"/>
    <col min="8708" max="8708" width="33.28515625" customWidth="1"/>
    <col min="8709" max="8709" width="16.140625" customWidth="1"/>
    <col min="8710" max="8710" width="18.85546875" customWidth="1"/>
    <col min="8711" max="8711" width="12.85546875" customWidth="1"/>
    <col min="8712" max="8712" width="37.7109375" customWidth="1"/>
    <col min="8961" max="8961" width="3.7109375" customWidth="1"/>
    <col min="8962" max="8962" width="10.28515625" customWidth="1"/>
    <col min="8963" max="8963" width="11.140625" customWidth="1"/>
    <col min="8964" max="8964" width="33.28515625" customWidth="1"/>
    <col min="8965" max="8965" width="16.140625" customWidth="1"/>
    <col min="8966" max="8966" width="18.85546875" customWidth="1"/>
    <col min="8967" max="8967" width="12.85546875" customWidth="1"/>
    <col min="8968" max="8968" width="37.7109375" customWidth="1"/>
    <col min="9217" max="9217" width="3.7109375" customWidth="1"/>
    <col min="9218" max="9218" width="10.28515625" customWidth="1"/>
    <col min="9219" max="9219" width="11.140625" customWidth="1"/>
    <col min="9220" max="9220" width="33.28515625" customWidth="1"/>
    <col min="9221" max="9221" width="16.140625" customWidth="1"/>
    <col min="9222" max="9222" width="18.85546875" customWidth="1"/>
    <col min="9223" max="9223" width="12.85546875" customWidth="1"/>
    <col min="9224" max="9224" width="37.7109375" customWidth="1"/>
    <col min="9473" max="9473" width="3.7109375" customWidth="1"/>
    <col min="9474" max="9474" width="10.28515625" customWidth="1"/>
    <col min="9475" max="9475" width="11.140625" customWidth="1"/>
    <col min="9476" max="9476" width="33.28515625" customWidth="1"/>
    <col min="9477" max="9477" width="16.140625" customWidth="1"/>
    <col min="9478" max="9478" width="18.85546875" customWidth="1"/>
    <col min="9479" max="9479" width="12.85546875" customWidth="1"/>
    <col min="9480" max="9480" width="37.7109375" customWidth="1"/>
    <col min="9729" max="9729" width="3.7109375" customWidth="1"/>
    <col min="9730" max="9730" width="10.28515625" customWidth="1"/>
    <col min="9731" max="9731" width="11.140625" customWidth="1"/>
    <col min="9732" max="9732" width="33.28515625" customWidth="1"/>
    <col min="9733" max="9733" width="16.140625" customWidth="1"/>
    <col min="9734" max="9734" width="18.85546875" customWidth="1"/>
    <col min="9735" max="9735" width="12.85546875" customWidth="1"/>
    <col min="9736" max="9736" width="37.7109375" customWidth="1"/>
    <col min="9985" max="9985" width="3.7109375" customWidth="1"/>
    <col min="9986" max="9986" width="10.28515625" customWidth="1"/>
    <col min="9987" max="9987" width="11.140625" customWidth="1"/>
    <col min="9988" max="9988" width="33.28515625" customWidth="1"/>
    <col min="9989" max="9989" width="16.140625" customWidth="1"/>
    <col min="9990" max="9990" width="18.85546875" customWidth="1"/>
    <col min="9991" max="9991" width="12.85546875" customWidth="1"/>
    <col min="9992" max="9992" width="37.7109375" customWidth="1"/>
    <col min="10241" max="10241" width="3.7109375" customWidth="1"/>
    <col min="10242" max="10242" width="10.28515625" customWidth="1"/>
    <col min="10243" max="10243" width="11.140625" customWidth="1"/>
    <col min="10244" max="10244" width="33.28515625" customWidth="1"/>
    <col min="10245" max="10245" width="16.140625" customWidth="1"/>
    <col min="10246" max="10246" width="18.85546875" customWidth="1"/>
    <col min="10247" max="10247" width="12.85546875" customWidth="1"/>
    <col min="10248" max="10248" width="37.7109375" customWidth="1"/>
    <col min="10497" max="10497" width="3.7109375" customWidth="1"/>
    <col min="10498" max="10498" width="10.28515625" customWidth="1"/>
    <col min="10499" max="10499" width="11.140625" customWidth="1"/>
    <col min="10500" max="10500" width="33.28515625" customWidth="1"/>
    <col min="10501" max="10501" width="16.140625" customWidth="1"/>
    <col min="10502" max="10502" width="18.85546875" customWidth="1"/>
    <col min="10503" max="10503" width="12.85546875" customWidth="1"/>
    <col min="10504" max="10504" width="37.7109375" customWidth="1"/>
    <col min="10753" max="10753" width="3.7109375" customWidth="1"/>
    <col min="10754" max="10754" width="10.28515625" customWidth="1"/>
    <col min="10755" max="10755" width="11.140625" customWidth="1"/>
    <col min="10756" max="10756" width="33.28515625" customWidth="1"/>
    <col min="10757" max="10757" width="16.140625" customWidth="1"/>
    <col min="10758" max="10758" width="18.85546875" customWidth="1"/>
    <col min="10759" max="10759" width="12.85546875" customWidth="1"/>
    <col min="10760" max="10760" width="37.7109375" customWidth="1"/>
    <col min="11009" max="11009" width="3.7109375" customWidth="1"/>
    <col min="11010" max="11010" width="10.28515625" customWidth="1"/>
    <col min="11011" max="11011" width="11.140625" customWidth="1"/>
    <col min="11012" max="11012" width="33.28515625" customWidth="1"/>
    <col min="11013" max="11013" width="16.140625" customWidth="1"/>
    <col min="11014" max="11014" width="18.85546875" customWidth="1"/>
    <col min="11015" max="11015" width="12.85546875" customWidth="1"/>
    <col min="11016" max="11016" width="37.7109375" customWidth="1"/>
    <col min="11265" max="11265" width="3.7109375" customWidth="1"/>
    <col min="11266" max="11266" width="10.28515625" customWidth="1"/>
    <col min="11267" max="11267" width="11.140625" customWidth="1"/>
    <col min="11268" max="11268" width="33.28515625" customWidth="1"/>
    <col min="11269" max="11269" width="16.140625" customWidth="1"/>
    <col min="11270" max="11270" width="18.85546875" customWidth="1"/>
    <col min="11271" max="11271" width="12.85546875" customWidth="1"/>
    <col min="11272" max="11272" width="37.7109375" customWidth="1"/>
    <col min="11521" max="11521" width="3.7109375" customWidth="1"/>
    <col min="11522" max="11522" width="10.28515625" customWidth="1"/>
    <col min="11523" max="11523" width="11.140625" customWidth="1"/>
    <col min="11524" max="11524" width="33.28515625" customWidth="1"/>
    <col min="11525" max="11525" width="16.140625" customWidth="1"/>
    <col min="11526" max="11526" width="18.85546875" customWidth="1"/>
    <col min="11527" max="11527" width="12.85546875" customWidth="1"/>
    <col min="11528" max="11528" width="37.7109375" customWidth="1"/>
    <col min="11777" max="11777" width="3.7109375" customWidth="1"/>
    <col min="11778" max="11778" width="10.28515625" customWidth="1"/>
    <col min="11779" max="11779" width="11.140625" customWidth="1"/>
    <col min="11780" max="11780" width="33.28515625" customWidth="1"/>
    <col min="11781" max="11781" width="16.140625" customWidth="1"/>
    <col min="11782" max="11782" width="18.85546875" customWidth="1"/>
    <col min="11783" max="11783" width="12.85546875" customWidth="1"/>
    <col min="11784" max="11784" width="37.7109375" customWidth="1"/>
    <col min="12033" max="12033" width="3.7109375" customWidth="1"/>
    <col min="12034" max="12034" width="10.28515625" customWidth="1"/>
    <col min="12035" max="12035" width="11.140625" customWidth="1"/>
    <col min="12036" max="12036" width="33.28515625" customWidth="1"/>
    <col min="12037" max="12037" width="16.140625" customWidth="1"/>
    <col min="12038" max="12038" width="18.85546875" customWidth="1"/>
    <col min="12039" max="12039" width="12.85546875" customWidth="1"/>
    <col min="12040" max="12040" width="37.7109375" customWidth="1"/>
    <col min="12289" max="12289" width="3.7109375" customWidth="1"/>
    <col min="12290" max="12290" width="10.28515625" customWidth="1"/>
    <col min="12291" max="12291" width="11.140625" customWidth="1"/>
    <col min="12292" max="12292" width="33.28515625" customWidth="1"/>
    <col min="12293" max="12293" width="16.140625" customWidth="1"/>
    <col min="12294" max="12294" width="18.85546875" customWidth="1"/>
    <col min="12295" max="12295" width="12.85546875" customWidth="1"/>
    <col min="12296" max="12296" width="37.7109375" customWidth="1"/>
    <col min="12545" max="12545" width="3.7109375" customWidth="1"/>
    <col min="12546" max="12546" width="10.28515625" customWidth="1"/>
    <col min="12547" max="12547" width="11.140625" customWidth="1"/>
    <col min="12548" max="12548" width="33.28515625" customWidth="1"/>
    <col min="12549" max="12549" width="16.140625" customWidth="1"/>
    <col min="12550" max="12550" width="18.85546875" customWidth="1"/>
    <col min="12551" max="12551" width="12.85546875" customWidth="1"/>
    <col min="12552" max="12552" width="37.7109375" customWidth="1"/>
    <col min="12801" max="12801" width="3.7109375" customWidth="1"/>
    <col min="12802" max="12802" width="10.28515625" customWidth="1"/>
    <col min="12803" max="12803" width="11.140625" customWidth="1"/>
    <col min="12804" max="12804" width="33.28515625" customWidth="1"/>
    <col min="12805" max="12805" width="16.140625" customWidth="1"/>
    <col min="12806" max="12806" width="18.85546875" customWidth="1"/>
    <col min="12807" max="12807" width="12.85546875" customWidth="1"/>
    <col min="12808" max="12808" width="37.7109375" customWidth="1"/>
    <col min="13057" max="13057" width="3.7109375" customWidth="1"/>
    <col min="13058" max="13058" width="10.28515625" customWidth="1"/>
    <col min="13059" max="13059" width="11.140625" customWidth="1"/>
    <col min="13060" max="13060" width="33.28515625" customWidth="1"/>
    <col min="13061" max="13061" width="16.140625" customWidth="1"/>
    <col min="13062" max="13062" width="18.85546875" customWidth="1"/>
    <col min="13063" max="13063" width="12.85546875" customWidth="1"/>
    <col min="13064" max="13064" width="37.7109375" customWidth="1"/>
    <col min="13313" max="13313" width="3.7109375" customWidth="1"/>
    <col min="13314" max="13314" width="10.28515625" customWidth="1"/>
    <col min="13315" max="13315" width="11.140625" customWidth="1"/>
    <col min="13316" max="13316" width="33.28515625" customWidth="1"/>
    <col min="13317" max="13317" width="16.140625" customWidth="1"/>
    <col min="13318" max="13318" width="18.85546875" customWidth="1"/>
    <col min="13319" max="13319" width="12.85546875" customWidth="1"/>
    <col min="13320" max="13320" width="37.7109375" customWidth="1"/>
    <col min="13569" max="13569" width="3.7109375" customWidth="1"/>
    <col min="13570" max="13570" width="10.28515625" customWidth="1"/>
    <col min="13571" max="13571" width="11.140625" customWidth="1"/>
    <col min="13572" max="13572" width="33.28515625" customWidth="1"/>
    <col min="13573" max="13573" width="16.140625" customWidth="1"/>
    <col min="13574" max="13574" width="18.85546875" customWidth="1"/>
    <col min="13575" max="13575" width="12.85546875" customWidth="1"/>
    <col min="13576" max="13576" width="37.7109375" customWidth="1"/>
    <col min="13825" max="13825" width="3.7109375" customWidth="1"/>
    <col min="13826" max="13826" width="10.28515625" customWidth="1"/>
    <col min="13827" max="13827" width="11.140625" customWidth="1"/>
    <col min="13828" max="13828" width="33.28515625" customWidth="1"/>
    <col min="13829" max="13829" width="16.140625" customWidth="1"/>
    <col min="13830" max="13830" width="18.85546875" customWidth="1"/>
    <col min="13831" max="13831" width="12.85546875" customWidth="1"/>
    <col min="13832" max="13832" width="37.7109375" customWidth="1"/>
    <col min="14081" max="14081" width="3.7109375" customWidth="1"/>
    <col min="14082" max="14082" width="10.28515625" customWidth="1"/>
    <col min="14083" max="14083" width="11.140625" customWidth="1"/>
    <col min="14084" max="14084" width="33.28515625" customWidth="1"/>
    <col min="14085" max="14085" width="16.140625" customWidth="1"/>
    <col min="14086" max="14086" width="18.85546875" customWidth="1"/>
    <col min="14087" max="14087" width="12.85546875" customWidth="1"/>
    <col min="14088" max="14088" width="37.7109375" customWidth="1"/>
    <col min="14337" max="14337" width="3.7109375" customWidth="1"/>
    <col min="14338" max="14338" width="10.28515625" customWidth="1"/>
    <col min="14339" max="14339" width="11.140625" customWidth="1"/>
    <col min="14340" max="14340" width="33.28515625" customWidth="1"/>
    <col min="14341" max="14341" width="16.140625" customWidth="1"/>
    <col min="14342" max="14342" width="18.85546875" customWidth="1"/>
    <col min="14343" max="14343" width="12.85546875" customWidth="1"/>
    <col min="14344" max="14344" width="37.7109375" customWidth="1"/>
    <col min="14593" max="14593" width="3.7109375" customWidth="1"/>
    <col min="14594" max="14594" width="10.28515625" customWidth="1"/>
    <col min="14595" max="14595" width="11.140625" customWidth="1"/>
    <col min="14596" max="14596" width="33.28515625" customWidth="1"/>
    <col min="14597" max="14597" width="16.140625" customWidth="1"/>
    <col min="14598" max="14598" width="18.85546875" customWidth="1"/>
    <col min="14599" max="14599" width="12.85546875" customWidth="1"/>
    <col min="14600" max="14600" width="37.7109375" customWidth="1"/>
    <col min="14849" max="14849" width="3.7109375" customWidth="1"/>
    <col min="14850" max="14850" width="10.28515625" customWidth="1"/>
    <col min="14851" max="14851" width="11.140625" customWidth="1"/>
    <col min="14852" max="14852" width="33.28515625" customWidth="1"/>
    <col min="14853" max="14853" width="16.140625" customWidth="1"/>
    <col min="14854" max="14854" width="18.85546875" customWidth="1"/>
    <col min="14855" max="14855" width="12.85546875" customWidth="1"/>
    <col min="14856" max="14856" width="37.7109375" customWidth="1"/>
    <col min="15105" max="15105" width="3.7109375" customWidth="1"/>
    <col min="15106" max="15106" width="10.28515625" customWidth="1"/>
    <col min="15107" max="15107" width="11.140625" customWidth="1"/>
    <col min="15108" max="15108" width="33.28515625" customWidth="1"/>
    <col min="15109" max="15109" width="16.140625" customWidth="1"/>
    <col min="15110" max="15110" width="18.85546875" customWidth="1"/>
    <col min="15111" max="15111" width="12.85546875" customWidth="1"/>
    <col min="15112" max="15112" width="37.7109375" customWidth="1"/>
    <col min="15361" max="15361" width="3.7109375" customWidth="1"/>
    <col min="15362" max="15362" width="10.28515625" customWidth="1"/>
    <col min="15363" max="15363" width="11.140625" customWidth="1"/>
    <col min="15364" max="15364" width="33.28515625" customWidth="1"/>
    <col min="15365" max="15365" width="16.140625" customWidth="1"/>
    <col min="15366" max="15366" width="18.85546875" customWidth="1"/>
    <col min="15367" max="15367" width="12.85546875" customWidth="1"/>
    <col min="15368" max="15368" width="37.7109375" customWidth="1"/>
    <col min="15617" max="15617" width="3.7109375" customWidth="1"/>
    <col min="15618" max="15618" width="10.28515625" customWidth="1"/>
    <col min="15619" max="15619" width="11.140625" customWidth="1"/>
    <col min="15620" max="15620" width="33.28515625" customWidth="1"/>
    <col min="15621" max="15621" width="16.140625" customWidth="1"/>
    <col min="15622" max="15622" width="18.85546875" customWidth="1"/>
    <col min="15623" max="15623" width="12.85546875" customWidth="1"/>
    <col min="15624" max="15624" width="37.7109375" customWidth="1"/>
    <col min="15873" max="15873" width="3.7109375" customWidth="1"/>
    <col min="15874" max="15874" width="10.28515625" customWidth="1"/>
    <col min="15875" max="15875" width="11.140625" customWidth="1"/>
    <col min="15876" max="15876" width="33.28515625" customWidth="1"/>
    <col min="15877" max="15877" width="16.140625" customWidth="1"/>
    <col min="15878" max="15878" width="18.85546875" customWidth="1"/>
    <col min="15879" max="15879" width="12.85546875" customWidth="1"/>
    <col min="15880" max="15880" width="37.7109375" customWidth="1"/>
    <col min="16129" max="16129" width="3.7109375" customWidth="1"/>
    <col min="16130" max="16130" width="10.28515625" customWidth="1"/>
    <col min="16131" max="16131" width="11.140625" customWidth="1"/>
    <col min="16132" max="16132" width="33.28515625" customWidth="1"/>
    <col min="16133" max="16133" width="16.140625" customWidth="1"/>
    <col min="16134" max="16134" width="18.85546875" customWidth="1"/>
    <col min="16135" max="16135" width="12.85546875" customWidth="1"/>
    <col min="16136" max="16136" width="37.7109375" customWidth="1"/>
  </cols>
  <sheetData>
    <row r="1" spans="1:15" ht="66.75" customHeight="1" thickBot="1" x14ac:dyDescent="0.3">
      <c r="A1" s="14"/>
      <c r="B1" s="14"/>
      <c r="C1" s="14"/>
    </row>
    <row r="2" spans="1:15" s="8" customFormat="1" ht="33.75" customHeight="1" thickBot="1" x14ac:dyDescent="0.3">
      <c r="A2" s="16"/>
      <c r="B2" s="17"/>
      <c r="C2" s="17"/>
      <c r="G2" s="21" t="s">
        <v>15</v>
      </c>
      <c r="M2" s="10"/>
      <c r="N2" s="11"/>
      <c r="O2" s="15" t="s">
        <v>26</v>
      </c>
    </row>
    <row r="3" spans="1:15" ht="24" customHeight="1" thickTop="1" x14ac:dyDescent="0.25">
      <c r="A3" s="14"/>
      <c r="B3" s="18"/>
      <c r="C3" s="18"/>
      <c r="G3" s="1"/>
      <c r="M3" s="9"/>
    </row>
    <row r="4" spans="1:15" ht="24" customHeight="1" x14ac:dyDescent="0.25">
      <c r="A4" s="14"/>
      <c r="B4" s="18"/>
      <c r="C4" s="18"/>
      <c r="G4" s="1"/>
      <c r="M4" s="5"/>
    </row>
    <row r="5" spans="1:15" ht="24" customHeight="1" x14ac:dyDescent="0.25">
      <c r="A5" s="14"/>
      <c r="B5" s="18"/>
      <c r="C5" s="18"/>
      <c r="F5" s="7" t="s">
        <v>31</v>
      </c>
      <c r="G5" s="22" t="s">
        <v>35</v>
      </c>
      <c r="H5" s="7" t="s">
        <v>32</v>
      </c>
      <c r="I5" s="24"/>
      <c r="J5" s="7" t="s">
        <v>33</v>
      </c>
      <c r="K5" s="24"/>
      <c r="L5" s="24"/>
      <c r="M5" s="23" t="s">
        <v>34</v>
      </c>
    </row>
    <row r="6" spans="1:15" ht="29.25" customHeight="1" thickBot="1" x14ac:dyDescent="0.3">
      <c r="A6" s="12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ht="21" customHeight="1" x14ac:dyDescent="0.25">
      <c r="B7" s="26"/>
      <c r="C7" s="27"/>
      <c r="D7" s="28"/>
      <c r="E7" s="29"/>
      <c r="F7" s="30" t="s">
        <v>36</v>
      </c>
      <c r="G7" s="31"/>
      <c r="H7" s="28"/>
      <c r="I7" s="27"/>
      <c r="J7" s="27"/>
      <c r="K7" s="32"/>
      <c r="L7" s="6" t="s">
        <v>12</v>
      </c>
      <c r="M7" s="27"/>
      <c r="N7" s="27"/>
      <c r="O7" s="33"/>
    </row>
    <row r="8" spans="1:15" ht="59.25" customHeight="1" x14ac:dyDescent="0.25">
      <c r="B8" s="34" t="s">
        <v>0</v>
      </c>
      <c r="C8" s="35" t="s">
        <v>1</v>
      </c>
      <c r="D8" s="35" t="s">
        <v>3</v>
      </c>
      <c r="E8" s="36" t="s">
        <v>2</v>
      </c>
      <c r="F8" s="37" t="s">
        <v>4</v>
      </c>
      <c r="G8" s="36" t="s">
        <v>5</v>
      </c>
      <c r="H8" s="35" t="s">
        <v>37</v>
      </c>
      <c r="I8" s="35" t="s">
        <v>6</v>
      </c>
      <c r="J8" s="35" t="s">
        <v>7</v>
      </c>
      <c r="K8" s="37" t="s">
        <v>8</v>
      </c>
      <c r="L8" s="36" t="s">
        <v>9</v>
      </c>
      <c r="M8" s="35" t="s">
        <v>10</v>
      </c>
      <c r="N8" s="38" t="s">
        <v>13</v>
      </c>
      <c r="O8" s="39" t="s">
        <v>11</v>
      </c>
    </row>
    <row r="9" spans="1:15" ht="10.5" customHeight="1" thickBot="1" x14ac:dyDescent="0.3">
      <c r="B9" s="40">
        <v>1</v>
      </c>
      <c r="C9" s="41">
        <v>2</v>
      </c>
      <c r="D9" s="41">
        <v>3</v>
      </c>
      <c r="E9" s="41">
        <v>4</v>
      </c>
      <c r="F9" s="42">
        <v>5</v>
      </c>
      <c r="G9" s="41" t="s">
        <v>38</v>
      </c>
      <c r="H9" s="41">
        <v>7</v>
      </c>
      <c r="I9" s="41">
        <v>8</v>
      </c>
      <c r="J9" s="41" t="s">
        <v>39</v>
      </c>
      <c r="K9" s="42">
        <v>10</v>
      </c>
      <c r="L9" s="41">
        <v>11</v>
      </c>
      <c r="M9" s="41" t="s">
        <v>40</v>
      </c>
      <c r="N9" s="42" t="s">
        <v>41</v>
      </c>
      <c r="O9" s="43">
        <v>14</v>
      </c>
    </row>
    <row r="10" spans="1:15" ht="18" customHeight="1" x14ac:dyDescent="0.3">
      <c r="B10" s="44">
        <v>1</v>
      </c>
      <c r="C10" s="45"/>
      <c r="D10" s="46" t="s">
        <v>14</v>
      </c>
      <c r="E10" s="47"/>
      <c r="F10" s="48" t="str">
        <f>IFERROR((J10/1.4)/E10,"0")</f>
        <v>0</v>
      </c>
      <c r="G10" s="49">
        <f>IFERROR(E10*F10,"0")</f>
        <v>0</v>
      </c>
      <c r="H10" s="50"/>
      <c r="I10" s="51">
        <f>J10-G10</f>
        <v>0</v>
      </c>
      <c r="J10" s="49">
        <f>(N10/1.2)*E10</f>
        <v>0</v>
      </c>
      <c r="K10" s="52">
        <v>0.2</v>
      </c>
      <c r="L10" s="49">
        <f>M10-J10</f>
        <v>0</v>
      </c>
      <c r="M10" s="49">
        <f>N10*E10</f>
        <v>0</v>
      </c>
      <c r="N10" s="49"/>
      <c r="O10" s="53"/>
    </row>
    <row r="11" spans="1:15" ht="18" customHeight="1" x14ac:dyDescent="0.3">
      <c r="B11" s="44">
        <v>2</v>
      </c>
      <c r="C11" s="46"/>
      <c r="D11" s="46" t="s">
        <v>14</v>
      </c>
      <c r="E11" s="46"/>
      <c r="F11" s="48" t="str">
        <f t="shared" ref="F11:F39" si="0">IFERROR((J11/1.4)/E11,"0")</f>
        <v>0</v>
      </c>
      <c r="G11" s="49">
        <f t="shared" ref="G11:G39" si="1">IFERROR(E11*F11,"0")</f>
        <v>0</v>
      </c>
      <c r="H11" s="46"/>
      <c r="I11" s="51">
        <f t="shared" ref="I11:I39" si="2">J11-G11</f>
        <v>0</v>
      </c>
      <c r="J11" s="49">
        <f t="shared" ref="J11:J39" si="3">(N11/1.2)*E11</f>
        <v>0</v>
      </c>
      <c r="K11" s="52">
        <v>0.2</v>
      </c>
      <c r="L11" s="49">
        <f t="shared" ref="L11:L39" si="4">M11-J11</f>
        <v>0</v>
      </c>
      <c r="M11" s="49">
        <f t="shared" ref="M11:M39" si="5">N11*E11</f>
        <v>0</v>
      </c>
      <c r="N11" s="49"/>
      <c r="O11" s="54"/>
    </row>
    <row r="12" spans="1:15" ht="18" customHeight="1" x14ac:dyDescent="0.3">
      <c r="B12" s="44">
        <v>3</v>
      </c>
      <c r="C12" s="46"/>
      <c r="D12" s="46" t="s">
        <v>14</v>
      </c>
      <c r="E12" s="46"/>
      <c r="F12" s="48" t="str">
        <f t="shared" si="0"/>
        <v>0</v>
      </c>
      <c r="G12" s="49">
        <f t="shared" si="1"/>
        <v>0</v>
      </c>
      <c r="H12" s="46"/>
      <c r="I12" s="51">
        <f t="shared" si="2"/>
        <v>0</v>
      </c>
      <c r="J12" s="49">
        <f t="shared" si="3"/>
        <v>0</v>
      </c>
      <c r="K12" s="52">
        <v>0.2</v>
      </c>
      <c r="L12" s="49">
        <f t="shared" si="4"/>
        <v>0</v>
      </c>
      <c r="M12" s="49">
        <f t="shared" si="5"/>
        <v>0</v>
      </c>
      <c r="N12" s="49"/>
      <c r="O12" s="54"/>
    </row>
    <row r="13" spans="1:15" ht="18" customHeight="1" x14ac:dyDescent="0.3">
      <c r="B13" s="44">
        <v>4</v>
      </c>
      <c r="C13" s="46"/>
      <c r="D13" s="46" t="s">
        <v>14</v>
      </c>
      <c r="E13" s="46"/>
      <c r="F13" s="48" t="str">
        <f t="shared" si="0"/>
        <v>0</v>
      </c>
      <c r="G13" s="49">
        <f t="shared" si="1"/>
        <v>0</v>
      </c>
      <c r="H13" s="46"/>
      <c r="I13" s="51">
        <f t="shared" si="2"/>
        <v>0</v>
      </c>
      <c r="J13" s="49">
        <f t="shared" si="3"/>
        <v>0</v>
      </c>
      <c r="K13" s="52">
        <v>0.2</v>
      </c>
      <c r="L13" s="49">
        <f t="shared" si="4"/>
        <v>0</v>
      </c>
      <c r="M13" s="49">
        <f t="shared" si="5"/>
        <v>0</v>
      </c>
      <c r="N13" s="49"/>
      <c r="O13" s="54"/>
    </row>
    <row r="14" spans="1:15" ht="18" customHeight="1" x14ac:dyDescent="0.3">
      <c r="B14" s="44">
        <v>5</v>
      </c>
      <c r="C14" s="46"/>
      <c r="D14" s="46" t="s">
        <v>14</v>
      </c>
      <c r="E14" s="46"/>
      <c r="F14" s="48" t="str">
        <f t="shared" si="0"/>
        <v>0</v>
      </c>
      <c r="G14" s="49">
        <f t="shared" si="1"/>
        <v>0</v>
      </c>
      <c r="H14" s="46"/>
      <c r="I14" s="51">
        <f t="shared" si="2"/>
        <v>0</v>
      </c>
      <c r="J14" s="49">
        <f t="shared" si="3"/>
        <v>0</v>
      </c>
      <c r="K14" s="52">
        <v>0.2</v>
      </c>
      <c r="L14" s="49">
        <f t="shared" si="4"/>
        <v>0</v>
      </c>
      <c r="M14" s="49">
        <f t="shared" si="5"/>
        <v>0</v>
      </c>
      <c r="N14" s="49"/>
      <c r="O14" s="54"/>
    </row>
    <row r="15" spans="1:15" ht="18" customHeight="1" x14ac:dyDescent="0.3">
      <c r="B15" s="44">
        <v>6</v>
      </c>
      <c r="C15" s="46"/>
      <c r="D15" s="46" t="s">
        <v>14</v>
      </c>
      <c r="E15" s="46"/>
      <c r="F15" s="48" t="str">
        <f t="shared" si="0"/>
        <v>0</v>
      </c>
      <c r="G15" s="49">
        <f t="shared" si="1"/>
        <v>0</v>
      </c>
      <c r="H15" s="46"/>
      <c r="I15" s="51">
        <f t="shared" si="2"/>
        <v>0</v>
      </c>
      <c r="J15" s="49">
        <f t="shared" si="3"/>
        <v>0</v>
      </c>
      <c r="K15" s="52">
        <v>0.2</v>
      </c>
      <c r="L15" s="49">
        <f t="shared" si="4"/>
        <v>0</v>
      </c>
      <c r="M15" s="49">
        <f t="shared" si="5"/>
        <v>0</v>
      </c>
      <c r="N15" s="49"/>
      <c r="O15" s="54"/>
    </row>
    <row r="16" spans="1:15" ht="18" customHeight="1" x14ac:dyDescent="0.3">
      <c r="B16" s="44">
        <v>7</v>
      </c>
      <c r="C16" s="46"/>
      <c r="D16" s="46" t="s">
        <v>14</v>
      </c>
      <c r="E16" s="46"/>
      <c r="F16" s="48" t="str">
        <f t="shared" si="0"/>
        <v>0</v>
      </c>
      <c r="G16" s="49">
        <f t="shared" si="1"/>
        <v>0</v>
      </c>
      <c r="H16" s="46"/>
      <c r="I16" s="51">
        <f t="shared" si="2"/>
        <v>0</v>
      </c>
      <c r="J16" s="49">
        <f t="shared" si="3"/>
        <v>0</v>
      </c>
      <c r="K16" s="52">
        <v>0.2</v>
      </c>
      <c r="L16" s="49">
        <f t="shared" si="4"/>
        <v>0</v>
      </c>
      <c r="M16" s="49">
        <f t="shared" si="5"/>
        <v>0</v>
      </c>
      <c r="N16" s="49"/>
      <c r="O16" s="54"/>
    </row>
    <row r="17" spans="2:15" ht="18" customHeight="1" x14ac:dyDescent="0.3">
      <c r="B17" s="44">
        <v>8</v>
      </c>
      <c r="C17" s="46"/>
      <c r="D17" s="46" t="s">
        <v>14</v>
      </c>
      <c r="E17" s="46"/>
      <c r="F17" s="48" t="str">
        <f t="shared" si="0"/>
        <v>0</v>
      </c>
      <c r="G17" s="49">
        <f t="shared" si="1"/>
        <v>0</v>
      </c>
      <c r="H17" s="46"/>
      <c r="I17" s="51">
        <f t="shared" si="2"/>
        <v>0</v>
      </c>
      <c r="J17" s="49">
        <f t="shared" si="3"/>
        <v>0</v>
      </c>
      <c r="K17" s="52">
        <v>0.2</v>
      </c>
      <c r="L17" s="49">
        <f t="shared" si="4"/>
        <v>0</v>
      </c>
      <c r="M17" s="49">
        <f t="shared" si="5"/>
        <v>0</v>
      </c>
      <c r="N17" s="49"/>
      <c r="O17" s="54"/>
    </row>
    <row r="18" spans="2:15" ht="18" customHeight="1" x14ac:dyDescent="0.3">
      <c r="B18" s="44">
        <v>9</v>
      </c>
      <c r="C18" s="46"/>
      <c r="D18" s="46" t="s">
        <v>14</v>
      </c>
      <c r="E18" s="46"/>
      <c r="F18" s="48" t="str">
        <f t="shared" si="0"/>
        <v>0</v>
      </c>
      <c r="G18" s="49">
        <f t="shared" si="1"/>
        <v>0</v>
      </c>
      <c r="H18" s="46"/>
      <c r="I18" s="51">
        <f t="shared" si="2"/>
        <v>0</v>
      </c>
      <c r="J18" s="49">
        <f t="shared" si="3"/>
        <v>0</v>
      </c>
      <c r="K18" s="52">
        <v>0.2</v>
      </c>
      <c r="L18" s="49">
        <f t="shared" si="4"/>
        <v>0</v>
      </c>
      <c r="M18" s="49">
        <f t="shared" si="5"/>
        <v>0</v>
      </c>
      <c r="N18" s="49"/>
      <c r="O18" s="54"/>
    </row>
    <row r="19" spans="2:15" ht="18" customHeight="1" x14ac:dyDescent="0.3">
      <c r="B19" s="44">
        <v>10</v>
      </c>
      <c r="C19" s="46"/>
      <c r="D19" s="46" t="s">
        <v>14</v>
      </c>
      <c r="E19" s="46"/>
      <c r="F19" s="48" t="str">
        <f t="shared" si="0"/>
        <v>0</v>
      </c>
      <c r="G19" s="49">
        <f t="shared" si="1"/>
        <v>0</v>
      </c>
      <c r="H19" s="46"/>
      <c r="I19" s="51">
        <f t="shared" si="2"/>
        <v>0</v>
      </c>
      <c r="J19" s="49">
        <f t="shared" si="3"/>
        <v>0</v>
      </c>
      <c r="K19" s="52">
        <v>0.2</v>
      </c>
      <c r="L19" s="49">
        <f t="shared" si="4"/>
        <v>0</v>
      </c>
      <c r="M19" s="49">
        <f t="shared" si="5"/>
        <v>0</v>
      </c>
      <c r="N19" s="49"/>
      <c r="O19" s="54"/>
    </row>
    <row r="20" spans="2:15" ht="18" customHeight="1" x14ac:dyDescent="0.3">
      <c r="B20" s="44">
        <v>11</v>
      </c>
      <c r="C20" s="46"/>
      <c r="D20" s="46" t="s">
        <v>14</v>
      </c>
      <c r="E20" s="46"/>
      <c r="F20" s="48" t="str">
        <f t="shared" si="0"/>
        <v>0</v>
      </c>
      <c r="G20" s="49">
        <f t="shared" si="1"/>
        <v>0</v>
      </c>
      <c r="H20" s="46"/>
      <c r="I20" s="51">
        <f t="shared" si="2"/>
        <v>0</v>
      </c>
      <c r="J20" s="49">
        <f t="shared" si="3"/>
        <v>0</v>
      </c>
      <c r="K20" s="52">
        <v>0.2</v>
      </c>
      <c r="L20" s="49">
        <f t="shared" si="4"/>
        <v>0</v>
      </c>
      <c r="M20" s="49">
        <f t="shared" si="5"/>
        <v>0</v>
      </c>
      <c r="N20" s="49"/>
      <c r="O20" s="54"/>
    </row>
    <row r="21" spans="2:15" ht="18" customHeight="1" x14ac:dyDescent="0.3">
      <c r="B21" s="44">
        <v>12</v>
      </c>
      <c r="C21" s="46"/>
      <c r="D21" s="46" t="s">
        <v>14</v>
      </c>
      <c r="E21" s="46"/>
      <c r="F21" s="48" t="str">
        <f t="shared" si="0"/>
        <v>0</v>
      </c>
      <c r="G21" s="49">
        <f t="shared" si="1"/>
        <v>0</v>
      </c>
      <c r="H21" s="46"/>
      <c r="I21" s="51">
        <f t="shared" si="2"/>
        <v>0</v>
      </c>
      <c r="J21" s="49">
        <f t="shared" si="3"/>
        <v>0</v>
      </c>
      <c r="K21" s="52">
        <v>0.2</v>
      </c>
      <c r="L21" s="49">
        <f t="shared" si="4"/>
        <v>0</v>
      </c>
      <c r="M21" s="49">
        <f t="shared" si="5"/>
        <v>0</v>
      </c>
      <c r="N21" s="49"/>
      <c r="O21" s="54"/>
    </row>
    <row r="22" spans="2:15" ht="18" customHeight="1" x14ac:dyDescent="0.3">
      <c r="B22" s="44">
        <v>13</v>
      </c>
      <c r="C22" s="46"/>
      <c r="D22" s="46" t="s">
        <v>14</v>
      </c>
      <c r="E22" s="46"/>
      <c r="F22" s="48" t="str">
        <f t="shared" si="0"/>
        <v>0</v>
      </c>
      <c r="G22" s="49">
        <f t="shared" si="1"/>
        <v>0</v>
      </c>
      <c r="H22" s="46"/>
      <c r="I22" s="51">
        <f t="shared" si="2"/>
        <v>0</v>
      </c>
      <c r="J22" s="49">
        <f t="shared" si="3"/>
        <v>0</v>
      </c>
      <c r="K22" s="52">
        <v>0.2</v>
      </c>
      <c r="L22" s="49">
        <f t="shared" si="4"/>
        <v>0</v>
      </c>
      <c r="M22" s="49">
        <f t="shared" si="5"/>
        <v>0</v>
      </c>
      <c r="N22" s="49"/>
      <c r="O22" s="54"/>
    </row>
    <row r="23" spans="2:15" ht="18" customHeight="1" x14ac:dyDescent="0.3">
      <c r="B23" s="44">
        <v>14</v>
      </c>
      <c r="C23" s="46"/>
      <c r="D23" s="46" t="s">
        <v>14</v>
      </c>
      <c r="E23" s="46"/>
      <c r="F23" s="48" t="str">
        <f t="shared" si="0"/>
        <v>0</v>
      </c>
      <c r="G23" s="49">
        <f t="shared" si="1"/>
        <v>0</v>
      </c>
      <c r="H23" s="46"/>
      <c r="I23" s="51">
        <f t="shared" si="2"/>
        <v>0</v>
      </c>
      <c r="J23" s="49">
        <f t="shared" si="3"/>
        <v>0</v>
      </c>
      <c r="K23" s="52">
        <v>0.2</v>
      </c>
      <c r="L23" s="49">
        <f t="shared" si="4"/>
        <v>0</v>
      </c>
      <c r="M23" s="49">
        <f t="shared" si="5"/>
        <v>0</v>
      </c>
      <c r="N23" s="49"/>
      <c r="O23" s="54"/>
    </row>
    <row r="24" spans="2:15" ht="18" customHeight="1" x14ac:dyDescent="0.3">
      <c r="B24" s="44">
        <v>15</v>
      </c>
      <c r="C24" s="46"/>
      <c r="D24" s="46" t="s">
        <v>14</v>
      </c>
      <c r="E24" s="46"/>
      <c r="F24" s="48" t="str">
        <f t="shared" si="0"/>
        <v>0</v>
      </c>
      <c r="G24" s="49">
        <f t="shared" si="1"/>
        <v>0</v>
      </c>
      <c r="H24" s="46"/>
      <c r="I24" s="51">
        <f t="shared" si="2"/>
        <v>0</v>
      </c>
      <c r="J24" s="49">
        <f t="shared" si="3"/>
        <v>0</v>
      </c>
      <c r="K24" s="52">
        <v>0.2</v>
      </c>
      <c r="L24" s="49">
        <f t="shared" si="4"/>
        <v>0</v>
      </c>
      <c r="M24" s="49">
        <f t="shared" si="5"/>
        <v>0</v>
      </c>
      <c r="N24" s="49"/>
      <c r="O24" s="54"/>
    </row>
    <row r="25" spans="2:15" ht="18" customHeight="1" x14ac:dyDescent="0.3">
      <c r="B25" s="44">
        <v>16</v>
      </c>
      <c r="C25" s="46"/>
      <c r="D25" s="46" t="s">
        <v>14</v>
      </c>
      <c r="E25" s="46"/>
      <c r="F25" s="48" t="str">
        <f t="shared" si="0"/>
        <v>0</v>
      </c>
      <c r="G25" s="49">
        <f t="shared" si="1"/>
        <v>0</v>
      </c>
      <c r="H25" s="46"/>
      <c r="I25" s="51">
        <f t="shared" si="2"/>
        <v>0</v>
      </c>
      <c r="J25" s="49">
        <f t="shared" si="3"/>
        <v>0</v>
      </c>
      <c r="K25" s="52">
        <v>0.2</v>
      </c>
      <c r="L25" s="49">
        <f t="shared" si="4"/>
        <v>0</v>
      </c>
      <c r="M25" s="49">
        <f t="shared" si="5"/>
        <v>0</v>
      </c>
      <c r="N25" s="49"/>
      <c r="O25" s="54"/>
    </row>
    <row r="26" spans="2:15" ht="18" customHeight="1" x14ac:dyDescent="0.3">
      <c r="B26" s="44">
        <v>17</v>
      </c>
      <c r="C26" s="46"/>
      <c r="D26" s="46" t="s">
        <v>14</v>
      </c>
      <c r="E26" s="46"/>
      <c r="F26" s="48" t="str">
        <f t="shared" si="0"/>
        <v>0</v>
      </c>
      <c r="G26" s="49">
        <f t="shared" si="1"/>
        <v>0</v>
      </c>
      <c r="H26" s="46"/>
      <c r="I26" s="51">
        <f t="shared" si="2"/>
        <v>0</v>
      </c>
      <c r="J26" s="49">
        <f t="shared" si="3"/>
        <v>0</v>
      </c>
      <c r="K26" s="52">
        <v>0.2</v>
      </c>
      <c r="L26" s="49">
        <f t="shared" si="4"/>
        <v>0</v>
      </c>
      <c r="M26" s="49">
        <f t="shared" si="5"/>
        <v>0</v>
      </c>
      <c r="N26" s="49"/>
      <c r="O26" s="54"/>
    </row>
    <row r="27" spans="2:15" ht="18" customHeight="1" x14ac:dyDescent="0.3">
      <c r="B27" s="44">
        <v>18</v>
      </c>
      <c r="C27" s="46"/>
      <c r="D27" s="46" t="s">
        <v>14</v>
      </c>
      <c r="E27" s="46"/>
      <c r="F27" s="48" t="str">
        <f t="shared" si="0"/>
        <v>0</v>
      </c>
      <c r="G27" s="49">
        <f t="shared" si="1"/>
        <v>0</v>
      </c>
      <c r="H27" s="46"/>
      <c r="I27" s="51">
        <f t="shared" si="2"/>
        <v>0</v>
      </c>
      <c r="J27" s="49">
        <f t="shared" si="3"/>
        <v>0</v>
      </c>
      <c r="K27" s="52">
        <v>0.2</v>
      </c>
      <c r="L27" s="49">
        <f t="shared" si="4"/>
        <v>0</v>
      </c>
      <c r="M27" s="49">
        <f t="shared" si="5"/>
        <v>0</v>
      </c>
      <c r="N27" s="49"/>
      <c r="O27" s="54"/>
    </row>
    <row r="28" spans="2:15" ht="18" customHeight="1" x14ac:dyDescent="0.3">
      <c r="B28" s="44">
        <v>19</v>
      </c>
      <c r="C28" s="46"/>
      <c r="D28" s="46" t="s">
        <v>14</v>
      </c>
      <c r="E28" s="46"/>
      <c r="F28" s="48" t="str">
        <f t="shared" si="0"/>
        <v>0</v>
      </c>
      <c r="G28" s="49">
        <f t="shared" si="1"/>
        <v>0</v>
      </c>
      <c r="H28" s="46"/>
      <c r="I28" s="51">
        <f t="shared" si="2"/>
        <v>0</v>
      </c>
      <c r="J28" s="49">
        <f t="shared" si="3"/>
        <v>0</v>
      </c>
      <c r="K28" s="52">
        <v>0.2</v>
      </c>
      <c r="L28" s="49">
        <f t="shared" si="4"/>
        <v>0</v>
      </c>
      <c r="M28" s="49">
        <f t="shared" si="5"/>
        <v>0</v>
      </c>
      <c r="N28" s="49"/>
      <c r="O28" s="54"/>
    </row>
    <row r="29" spans="2:15" ht="18" customHeight="1" x14ac:dyDescent="0.3">
      <c r="B29" s="44">
        <v>20</v>
      </c>
      <c r="C29" s="46"/>
      <c r="D29" s="46" t="s">
        <v>14</v>
      </c>
      <c r="E29" s="46"/>
      <c r="F29" s="48" t="str">
        <f t="shared" si="0"/>
        <v>0</v>
      </c>
      <c r="G29" s="49">
        <f t="shared" si="1"/>
        <v>0</v>
      </c>
      <c r="H29" s="46"/>
      <c r="I29" s="51">
        <f t="shared" si="2"/>
        <v>0</v>
      </c>
      <c r="J29" s="49">
        <f t="shared" si="3"/>
        <v>0</v>
      </c>
      <c r="K29" s="52">
        <v>0.2</v>
      </c>
      <c r="L29" s="49">
        <f t="shared" si="4"/>
        <v>0</v>
      </c>
      <c r="M29" s="49">
        <f t="shared" si="5"/>
        <v>0</v>
      </c>
      <c r="N29" s="49"/>
      <c r="O29" s="54"/>
    </row>
    <row r="30" spans="2:15" ht="18" customHeight="1" x14ac:dyDescent="0.3">
      <c r="B30" s="44">
        <v>21</v>
      </c>
      <c r="C30" s="46"/>
      <c r="D30" s="46" t="s">
        <v>14</v>
      </c>
      <c r="E30" s="46"/>
      <c r="F30" s="48" t="str">
        <f t="shared" si="0"/>
        <v>0</v>
      </c>
      <c r="G30" s="49">
        <f t="shared" si="1"/>
        <v>0</v>
      </c>
      <c r="H30" s="46"/>
      <c r="I30" s="51">
        <f t="shared" si="2"/>
        <v>0</v>
      </c>
      <c r="J30" s="49">
        <f t="shared" si="3"/>
        <v>0</v>
      </c>
      <c r="K30" s="52">
        <v>0.2</v>
      </c>
      <c r="L30" s="49">
        <f t="shared" si="4"/>
        <v>0</v>
      </c>
      <c r="M30" s="49">
        <f t="shared" si="5"/>
        <v>0</v>
      </c>
      <c r="N30" s="49"/>
      <c r="O30" s="54"/>
    </row>
    <row r="31" spans="2:15" ht="18" customHeight="1" x14ac:dyDescent="0.3">
      <c r="B31" s="44">
        <v>22</v>
      </c>
      <c r="C31" s="46"/>
      <c r="D31" s="46" t="s">
        <v>14</v>
      </c>
      <c r="E31" s="46"/>
      <c r="F31" s="48" t="str">
        <f t="shared" si="0"/>
        <v>0</v>
      </c>
      <c r="G31" s="49">
        <f t="shared" si="1"/>
        <v>0</v>
      </c>
      <c r="H31" s="46"/>
      <c r="I31" s="51">
        <f t="shared" si="2"/>
        <v>0</v>
      </c>
      <c r="J31" s="49">
        <f t="shared" si="3"/>
        <v>0</v>
      </c>
      <c r="K31" s="52">
        <v>0.2</v>
      </c>
      <c r="L31" s="49">
        <f t="shared" si="4"/>
        <v>0</v>
      </c>
      <c r="M31" s="49">
        <f t="shared" si="5"/>
        <v>0</v>
      </c>
      <c r="N31" s="49"/>
      <c r="O31" s="54"/>
    </row>
    <row r="32" spans="2:15" ht="18" customHeight="1" x14ac:dyDescent="0.3">
      <c r="B32" s="44">
        <v>23</v>
      </c>
      <c r="C32" s="46"/>
      <c r="D32" s="46" t="s">
        <v>14</v>
      </c>
      <c r="E32" s="46"/>
      <c r="F32" s="48" t="str">
        <f t="shared" si="0"/>
        <v>0</v>
      </c>
      <c r="G32" s="49">
        <f t="shared" si="1"/>
        <v>0</v>
      </c>
      <c r="H32" s="46"/>
      <c r="I32" s="51">
        <f t="shared" si="2"/>
        <v>0</v>
      </c>
      <c r="J32" s="49">
        <f t="shared" si="3"/>
        <v>0</v>
      </c>
      <c r="K32" s="52">
        <v>0.2</v>
      </c>
      <c r="L32" s="49">
        <f t="shared" si="4"/>
        <v>0</v>
      </c>
      <c r="M32" s="49">
        <f t="shared" si="5"/>
        <v>0</v>
      </c>
      <c r="N32" s="49"/>
      <c r="O32" s="54"/>
    </row>
    <row r="33" spans="2:15" ht="18" customHeight="1" x14ac:dyDescent="0.3">
      <c r="B33" s="44">
        <v>24</v>
      </c>
      <c r="C33" s="46"/>
      <c r="D33" s="46" t="s">
        <v>14</v>
      </c>
      <c r="E33" s="46"/>
      <c r="F33" s="48" t="str">
        <f t="shared" si="0"/>
        <v>0</v>
      </c>
      <c r="G33" s="49">
        <f t="shared" si="1"/>
        <v>0</v>
      </c>
      <c r="H33" s="46"/>
      <c r="I33" s="51">
        <f t="shared" si="2"/>
        <v>0</v>
      </c>
      <c r="J33" s="49">
        <f t="shared" si="3"/>
        <v>0</v>
      </c>
      <c r="K33" s="52">
        <v>0.2</v>
      </c>
      <c r="L33" s="49">
        <f t="shared" si="4"/>
        <v>0</v>
      </c>
      <c r="M33" s="49">
        <f t="shared" si="5"/>
        <v>0</v>
      </c>
      <c r="N33" s="49"/>
      <c r="O33" s="54"/>
    </row>
    <row r="34" spans="2:15" ht="18" customHeight="1" x14ac:dyDescent="0.3">
      <c r="B34" s="44">
        <v>25</v>
      </c>
      <c r="C34" s="56"/>
      <c r="D34" s="46" t="s">
        <v>14</v>
      </c>
      <c r="E34" s="59"/>
      <c r="F34" s="48" t="str">
        <f t="shared" si="0"/>
        <v>0</v>
      </c>
      <c r="G34" s="49">
        <f t="shared" si="1"/>
        <v>0</v>
      </c>
      <c r="H34" s="72"/>
      <c r="I34" s="51">
        <f t="shared" si="2"/>
        <v>0</v>
      </c>
      <c r="J34" s="49">
        <f t="shared" si="3"/>
        <v>0</v>
      </c>
      <c r="K34" s="52">
        <v>0.2</v>
      </c>
      <c r="L34" s="49">
        <f t="shared" si="4"/>
        <v>0</v>
      </c>
      <c r="M34" s="49">
        <f t="shared" si="5"/>
        <v>0</v>
      </c>
      <c r="N34" s="68"/>
      <c r="O34" s="64"/>
    </row>
    <row r="35" spans="2:15" ht="15" customHeight="1" x14ac:dyDescent="0.3">
      <c r="B35" s="44">
        <v>26</v>
      </c>
      <c r="C35" s="69"/>
      <c r="D35" s="46" t="s">
        <v>14</v>
      </c>
      <c r="E35" s="70"/>
      <c r="F35" s="48" t="str">
        <f t="shared" si="0"/>
        <v>0</v>
      </c>
      <c r="G35" s="49">
        <f t="shared" si="1"/>
        <v>0</v>
      </c>
      <c r="H35" s="73"/>
      <c r="I35" s="51">
        <f t="shared" si="2"/>
        <v>0</v>
      </c>
      <c r="J35" s="49">
        <f t="shared" si="3"/>
        <v>0</v>
      </c>
      <c r="K35" s="52">
        <v>0.2</v>
      </c>
      <c r="L35" s="49">
        <f t="shared" si="4"/>
        <v>0</v>
      </c>
      <c r="M35" s="49">
        <f t="shared" si="5"/>
        <v>0</v>
      </c>
      <c r="N35" s="74"/>
      <c r="O35" s="76"/>
    </row>
    <row r="36" spans="2:15" ht="15" customHeight="1" x14ac:dyDescent="0.3">
      <c r="B36" s="44">
        <v>27</v>
      </c>
      <c r="C36" s="69"/>
      <c r="D36" s="46" t="s">
        <v>14</v>
      </c>
      <c r="E36" s="70"/>
      <c r="F36" s="48" t="str">
        <f t="shared" si="0"/>
        <v>0</v>
      </c>
      <c r="G36" s="49">
        <f t="shared" si="1"/>
        <v>0</v>
      </c>
      <c r="H36" s="73"/>
      <c r="I36" s="51">
        <f t="shared" si="2"/>
        <v>0</v>
      </c>
      <c r="J36" s="49">
        <f t="shared" si="3"/>
        <v>0</v>
      </c>
      <c r="K36" s="52">
        <v>0.2</v>
      </c>
      <c r="L36" s="49">
        <f t="shared" si="4"/>
        <v>0</v>
      </c>
      <c r="M36" s="49">
        <f t="shared" si="5"/>
        <v>0</v>
      </c>
      <c r="N36" s="74"/>
      <c r="O36" s="76"/>
    </row>
    <row r="37" spans="2:15" ht="15" customHeight="1" x14ac:dyDescent="0.3">
      <c r="B37" s="44">
        <v>28</v>
      </c>
      <c r="C37" s="56"/>
      <c r="D37" s="46" t="s">
        <v>14</v>
      </c>
      <c r="E37" s="70"/>
      <c r="F37" s="48" t="str">
        <f t="shared" si="0"/>
        <v>0</v>
      </c>
      <c r="G37" s="49">
        <f t="shared" si="1"/>
        <v>0</v>
      </c>
      <c r="H37" s="73"/>
      <c r="I37" s="51">
        <f t="shared" si="2"/>
        <v>0</v>
      </c>
      <c r="J37" s="49">
        <f t="shared" si="3"/>
        <v>0</v>
      </c>
      <c r="K37" s="52">
        <v>0.2</v>
      </c>
      <c r="L37" s="49">
        <f t="shared" si="4"/>
        <v>0</v>
      </c>
      <c r="M37" s="49">
        <f t="shared" si="5"/>
        <v>0</v>
      </c>
      <c r="N37" s="74"/>
      <c r="O37" s="76"/>
    </row>
    <row r="38" spans="2:15" ht="15" customHeight="1" x14ac:dyDescent="0.3">
      <c r="B38" s="44">
        <v>29</v>
      </c>
      <c r="C38" s="69"/>
      <c r="D38" s="46" t="s">
        <v>14</v>
      </c>
      <c r="E38" s="70"/>
      <c r="F38" s="48" t="str">
        <f t="shared" si="0"/>
        <v>0</v>
      </c>
      <c r="G38" s="49">
        <f t="shared" si="1"/>
        <v>0</v>
      </c>
      <c r="H38" s="73"/>
      <c r="I38" s="51">
        <f t="shared" si="2"/>
        <v>0</v>
      </c>
      <c r="J38" s="49">
        <f t="shared" si="3"/>
        <v>0</v>
      </c>
      <c r="K38" s="52">
        <v>0.2</v>
      </c>
      <c r="L38" s="49">
        <f t="shared" si="4"/>
        <v>0</v>
      </c>
      <c r="M38" s="49">
        <f t="shared" si="5"/>
        <v>0</v>
      </c>
      <c r="N38" s="74"/>
      <c r="O38" s="76"/>
    </row>
    <row r="39" spans="2:15" ht="15" customHeight="1" x14ac:dyDescent="0.3">
      <c r="B39" s="44">
        <v>30</v>
      </c>
      <c r="C39" s="67"/>
      <c r="D39" s="59" t="s">
        <v>14</v>
      </c>
      <c r="E39" s="71"/>
      <c r="F39" s="60" t="str">
        <f t="shared" si="0"/>
        <v>0</v>
      </c>
      <c r="G39" s="61">
        <f t="shared" si="1"/>
        <v>0</v>
      </c>
      <c r="H39" s="71"/>
      <c r="I39" s="62">
        <f t="shared" si="2"/>
        <v>0</v>
      </c>
      <c r="J39" s="61">
        <f t="shared" si="3"/>
        <v>0</v>
      </c>
      <c r="K39" s="63">
        <v>0.2</v>
      </c>
      <c r="L39" s="61">
        <f t="shared" si="4"/>
        <v>0</v>
      </c>
      <c r="M39" s="61">
        <f t="shared" si="5"/>
        <v>0</v>
      </c>
      <c r="N39" s="75"/>
      <c r="O39" s="77"/>
    </row>
    <row r="40" spans="2:15" ht="15" customHeight="1" x14ac:dyDescent="0.3">
      <c r="E40" s="5"/>
      <c r="F40" s="58"/>
      <c r="G40" s="57"/>
      <c r="H40" s="5"/>
      <c r="I40" s="65">
        <f>SUM(I10:I39)</f>
        <v>0</v>
      </c>
      <c r="J40" s="66">
        <f>SUM(J10:J39)</f>
        <v>0</v>
      </c>
      <c r="L40" s="66">
        <f>SUM(L10:L39)</f>
        <v>0</v>
      </c>
      <c r="M40" s="66">
        <f>SUM(M10:M39)</f>
        <v>0</v>
      </c>
      <c r="N40" s="66">
        <f>SUM(N10:N39)</f>
        <v>0</v>
      </c>
    </row>
    <row r="41" spans="2:15" ht="15" customHeight="1" x14ac:dyDescent="0.25">
      <c r="B41" s="13" t="s">
        <v>18</v>
      </c>
    </row>
    <row r="42" spans="2:15" ht="15" customHeight="1" x14ac:dyDescent="0.25">
      <c r="B42" s="13" t="s">
        <v>19</v>
      </c>
    </row>
    <row r="43" spans="2:15" ht="15" customHeight="1" x14ac:dyDescent="0.25"/>
    <row r="44" spans="2:15" ht="15" customHeight="1" x14ac:dyDescent="0.25">
      <c r="C44" s="2"/>
      <c r="H44" s="2"/>
      <c r="I44" s="2"/>
      <c r="N44" s="2"/>
    </row>
    <row r="45" spans="2:15" ht="15" customHeight="1" x14ac:dyDescent="0.25">
      <c r="C45" s="3" t="s">
        <v>27</v>
      </c>
      <c r="H45" s="55" t="s">
        <v>16</v>
      </c>
      <c r="I45" s="55"/>
      <c r="N45" s="3" t="s">
        <v>17</v>
      </c>
    </row>
    <row r="46" spans="2:15" ht="15" customHeight="1" x14ac:dyDescent="0.25"/>
    <row r="47" spans="2:15" ht="15" customHeight="1" x14ac:dyDescent="0.25"/>
    <row r="48" spans="2:1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</sheetData>
  <mergeCells count="1">
    <mergeCell ref="H45:I45"/>
  </mergeCells>
  <dataValidations count="2">
    <dataValidation type="list" allowBlank="1" showInputMessage="1" showErrorMessage="1" sqref="K10:K39">
      <formula1>"10%,20%"</formula1>
    </dataValidation>
    <dataValidation type="list" allowBlank="1" showInputMessage="1" showErrorMessage="1" sqref="D10:D39">
      <formula1>"kom,kg,lit"</formula1>
    </dataValidation>
  </dataValidations>
  <pageMargins left="0.34" right="0.3" top="0.75" bottom="0.75" header="0.3" footer="0.3"/>
  <pageSetup paperSize="9" scale="5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22"/>
  <sheetViews>
    <sheetView showGridLines="0" workbookViewId="0">
      <selection activeCell="G14" sqref="G14"/>
    </sheetView>
  </sheetViews>
  <sheetFormatPr defaultRowHeight="15" x14ac:dyDescent="0.25"/>
  <cols>
    <col min="3" max="3" width="22.85546875" customWidth="1"/>
    <col min="4" max="4" width="28.7109375" customWidth="1"/>
  </cols>
  <sheetData>
    <row r="3" spans="3:5" x14ac:dyDescent="0.25">
      <c r="C3" s="7" t="s">
        <v>20</v>
      </c>
      <c r="D3" s="19">
        <v>100292681</v>
      </c>
      <c r="E3" s="5"/>
    </row>
    <row r="4" spans="3:5" ht="5.0999999999999996" customHeight="1" x14ac:dyDescent="0.25">
      <c r="C4" s="7"/>
      <c r="D4" s="14"/>
      <c r="E4" s="5"/>
    </row>
    <row r="5" spans="3:5" x14ac:dyDescent="0.25">
      <c r="C5" s="7" t="s">
        <v>21</v>
      </c>
      <c r="D5" s="20" t="s">
        <v>28</v>
      </c>
      <c r="E5" s="4"/>
    </row>
    <row r="6" spans="3:5" ht="5.0999999999999996" customHeight="1" x14ac:dyDescent="0.25"/>
    <row r="7" spans="3:5" x14ac:dyDescent="0.25">
      <c r="C7" s="7" t="s">
        <v>22</v>
      </c>
      <c r="D7" s="20" t="s">
        <v>29</v>
      </c>
    </row>
    <row r="8" spans="3:5" ht="5.0999999999999996" customHeight="1" x14ac:dyDescent="0.25"/>
    <row r="9" spans="3:5" x14ac:dyDescent="0.25">
      <c r="C9" s="7" t="s">
        <v>23</v>
      </c>
      <c r="D9" s="20" t="s">
        <v>30</v>
      </c>
    </row>
    <row r="10" spans="3:5" ht="5.0999999999999996" customHeight="1" x14ac:dyDescent="0.25"/>
    <row r="11" spans="3:5" x14ac:dyDescent="0.25">
      <c r="C11" s="7" t="s">
        <v>24</v>
      </c>
      <c r="D11" s="19"/>
    </row>
    <row r="12" spans="3:5" ht="5.0999999999999996" customHeight="1" x14ac:dyDescent="0.25"/>
    <row r="13" spans="3:5" x14ac:dyDescent="0.25">
      <c r="C13" s="7" t="s">
        <v>25</v>
      </c>
      <c r="D13" s="19"/>
    </row>
    <row r="16" spans="3:5" x14ac:dyDescent="0.25">
      <c r="C16" s="7"/>
      <c r="D16" s="20"/>
    </row>
    <row r="17" spans="3:4" ht="5.0999999999999996" customHeight="1" x14ac:dyDescent="0.25"/>
    <row r="18" spans="3:4" x14ac:dyDescent="0.25">
      <c r="C18" s="7"/>
      <c r="D18" s="20"/>
    </row>
    <row r="19" spans="3:4" ht="5.0999999999999996" customHeight="1" x14ac:dyDescent="0.25"/>
    <row r="20" spans="3:4" x14ac:dyDescent="0.25">
      <c r="C20" s="7"/>
      <c r="D20" s="20"/>
    </row>
    <row r="21" spans="3:4" ht="5.0999999999999996" customHeight="1" x14ac:dyDescent="0.25"/>
    <row r="22" spans="3:4" x14ac:dyDescent="0.25">
      <c r="C22" s="7"/>
      <c r="D22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Kalkulacija</vt:lpstr>
      <vt:lpstr>Zaglavlje</vt:lpstr>
      <vt:lpstr>Kalkulacija!Print_Area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Dragan</dc:creator>
  <cp:lastModifiedBy>Tasnolina</cp:lastModifiedBy>
  <cp:lastPrinted>2025-05-17T10:25:14Z</cp:lastPrinted>
  <dcterms:created xsi:type="dcterms:W3CDTF">2022-04-28T16:49:45Z</dcterms:created>
  <dcterms:modified xsi:type="dcterms:W3CDTF">2025-05-17T10:25:43Z</dcterms:modified>
</cp:coreProperties>
</file>